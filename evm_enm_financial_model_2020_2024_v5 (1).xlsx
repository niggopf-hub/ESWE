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BMETZLER\_PRAKTIKANTEN_TRAINEES\TKW\FYS\EVM AG\"/>
    </mc:Choice>
  </mc:AlternateContent>
  <xr:revisionPtr revIDLastSave="0" documentId="13_ncr:1_{1D7BDCAF-F5D6-46A0-8778-87C44A83C612}" xr6:coauthVersionLast="47" xr6:coauthVersionMax="47" xr10:uidLastSave="{00000000-0000-0000-0000-000000000000}"/>
  <bookViews>
    <workbookView xWindow="-108" yWindow="-108" windowWidth="30936" windowHeight="16896" xr2:uid="{0CDABF69-735E-4C71-B013-E63263849857}"/>
  </bookViews>
  <sheets>
    <sheet name="Cover" sheetId="15" r:id="rId1"/>
    <sheet name="Output&gt;&gt;" sheetId="13" r:id="rId2"/>
    <sheet name="Overview" sheetId="11" r:id="rId3"/>
    <sheet name="Overview FS" sheetId="12" r:id="rId4"/>
    <sheet name="Input&gt;&gt;" sheetId="14" r:id="rId5"/>
    <sheet name="EVM Bilanz" sheetId="1" r:id="rId6"/>
    <sheet name="EVM GuV" sheetId="2" r:id="rId7"/>
    <sheet name="EVM Cashflow" sheetId="3" r:id="rId8"/>
    <sheet name="ENM Bilanz" sheetId="4" state="hidden" r:id="rId9"/>
    <sheet name="ENM GuV" sheetId="5" state="hidden" r:id="rId10"/>
    <sheet name="ENM Cashflow" sheetId="6" state="hidden" r:id="rId11"/>
    <sheet name="EVM KPIs" sheetId="7" r:id="rId12"/>
    <sheet name="EVM Capex Revenue" sheetId="8" r:id="rId13"/>
    <sheet name="Netzinfratruktur" sheetId="16" r:id="rId14"/>
    <sheet name="ENM KPIs" sheetId="9" state="hidden" r:id="rId15"/>
    <sheet name="ENM Capex" sheetId="10" state="hidden" r:id="rId16"/>
  </sheets>
  <definedNames>
    <definedName name="___thinkcellWCLAAAAAAAAAAAABAAAIOXPSGOGOMX43FGOVDDQEINOUE" localSheetId="3" hidden="1">'Overview FS'!$B$16:$G$18</definedName>
    <definedName name="___thinkcellWCLAAAAAAAAAAAABAAANQSW5VEIWJGAQZPVPVIBJIMAEE" localSheetId="3" hidden="1">'Overview FS'!$B$3:$G$5</definedName>
    <definedName name="___thinkcellWCLAAAAAAAAAAAABAAAOVGYJHRFJSS3NVKX5QRLGLJ34W" localSheetId="3" hidden="1">'Overview FS'!$B$41:$G$42</definedName>
    <definedName name="___thinkcellWCLAAAAAAAAAAAABAAAPE3QOD6P7KT4KCFPI6K5RE2M2C" localSheetId="3" hidden="1">'Overview FS'!$B$10:$G$13</definedName>
    <definedName name="___thinkcellWCLAAAAAAAAAAAYBAAAP44M6AO27IZ4VP5UVUW6UY4ENE" localSheetId="3" hidden="1">'Overview FS'!$B$23:$C$27</definedName>
    <definedName name="Stromverkauf">'Overview FS'!$C$24:$E$24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6" l="1"/>
  <c r="E5" i="16"/>
  <c r="F7" i="11"/>
  <c r="H35" i="11"/>
  <c r="C35" i="11"/>
  <c r="D35" i="11"/>
  <c r="E35" i="11"/>
  <c r="F35" i="11"/>
  <c r="G35" i="11"/>
  <c r="H36" i="11"/>
  <c r="H8" i="11"/>
  <c r="C36" i="11"/>
  <c r="D36" i="11"/>
  <c r="E36" i="11"/>
  <c r="F36" i="11"/>
  <c r="G36" i="11"/>
  <c r="H37" i="11"/>
  <c r="H5" i="11"/>
  <c r="H25" i="11"/>
  <c r="H26" i="11"/>
  <c r="H27" i="11"/>
  <c r="H28" i="11"/>
  <c r="H29" i="11"/>
  <c r="C16" i="16"/>
  <c r="D7" i="16"/>
  <c r="C7" i="16"/>
  <c r="E7" i="16" s="1"/>
  <c r="G42" i="12"/>
  <c r="G43" i="12"/>
  <c r="G4" i="12"/>
  <c r="G5" i="12"/>
  <c r="G6" i="12"/>
  <c r="G7" i="12"/>
  <c r="G8" i="12"/>
  <c r="G11" i="12"/>
  <c r="G12" i="12"/>
  <c r="G13" i="12"/>
  <c r="G14" i="12"/>
  <c r="G17" i="12"/>
  <c r="G18" i="12"/>
  <c r="G19" i="12"/>
  <c r="G23" i="12"/>
  <c r="C23" i="12" s="1"/>
  <c r="G24" i="12"/>
  <c r="C24" i="12" s="1"/>
  <c r="G25" i="12"/>
  <c r="C25" i="12" s="1"/>
  <c r="G26" i="12"/>
  <c r="C26" i="12" s="1"/>
  <c r="G27" i="12"/>
  <c r="C27" i="12" s="1"/>
  <c r="H24" i="8"/>
  <c r="H25" i="8"/>
  <c r="H26" i="8"/>
  <c r="H27" i="8"/>
  <c r="H28" i="8"/>
  <c r="H19" i="8"/>
  <c r="H9" i="8"/>
  <c r="H38" i="11"/>
  <c r="H39" i="11"/>
  <c r="H40" i="11"/>
  <c r="H6" i="11"/>
  <c r="H7" i="11"/>
  <c r="H9" i="11"/>
  <c r="H10" i="11"/>
  <c r="H12" i="11"/>
  <c r="H13" i="11"/>
  <c r="H14" i="11"/>
  <c r="H15" i="11"/>
  <c r="H17" i="11"/>
  <c r="H19" i="11"/>
  <c r="H20" i="11"/>
  <c r="H5" i="7"/>
  <c r="H6" i="7"/>
  <c r="H7" i="7"/>
  <c r="H9" i="7"/>
  <c r="H10" i="7"/>
  <c r="H12" i="7"/>
  <c r="H13" i="7"/>
  <c r="H14" i="7"/>
  <c r="H15" i="7"/>
  <c r="H16" i="7"/>
  <c r="H18" i="7"/>
  <c r="H19" i="7"/>
  <c r="H20" i="7"/>
  <c r="H21" i="7"/>
  <c r="H22" i="7"/>
  <c r="H23" i="7"/>
  <c r="H24" i="7"/>
  <c r="H26" i="7"/>
  <c r="H27" i="7"/>
  <c r="H11" i="11" s="1"/>
  <c r="H13" i="3"/>
  <c r="H11" i="3"/>
  <c r="H9" i="3"/>
  <c r="H3" i="3"/>
  <c r="H40" i="2"/>
  <c r="H16" i="2"/>
  <c r="H12" i="2"/>
  <c r="H9" i="2"/>
  <c r="H35" i="2" s="1"/>
  <c r="H38" i="2" s="1"/>
  <c r="H43" i="2" s="1"/>
  <c r="H3" i="1"/>
  <c r="H64" i="1"/>
  <c r="H48" i="1"/>
  <c r="H44" i="1"/>
  <c r="H38" i="1"/>
  <c r="H35" i="1"/>
  <c r="H62" i="1" s="1"/>
  <c r="H27" i="1"/>
  <c r="H23" i="1"/>
  <c r="H22" i="1"/>
  <c r="H15" i="1"/>
  <c r="H10" i="1"/>
  <c r="H6" i="1"/>
  <c r="H5" i="1"/>
  <c r="H33" i="1" s="1"/>
  <c r="C13" i="12"/>
  <c r="D13" i="12"/>
  <c r="E13" i="12"/>
  <c r="F13" i="12"/>
  <c r="D14" i="11"/>
  <c r="E14" i="11"/>
  <c r="F14" i="11"/>
  <c r="G14" i="11"/>
  <c r="C14" i="11"/>
  <c r="D15" i="7"/>
  <c r="E15" i="7"/>
  <c r="F15" i="7"/>
  <c r="G15" i="7"/>
  <c r="C15" i="7"/>
  <c r="C11" i="3"/>
  <c r="C9" i="3"/>
  <c r="D20" i="7"/>
  <c r="E20" i="7"/>
  <c r="F20" i="7"/>
  <c r="G20" i="7"/>
  <c r="C20" i="7"/>
  <c r="D23" i="7"/>
  <c r="E23" i="7"/>
  <c r="F23" i="7"/>
  <c r="G23" i="7"/>
  <c r="C23" i="7"/>
  <c r="D22" i="7"/>
  <c r="E22" i="7"/>
  <c r="F22" i="7"/>
  <c r="G22" i="7"/>
  <c r="C22" i="7"/>
  <c r="G37" i="12"/>
  <c r="F37" i="12"/>
  <c r="E37" i="12"/>
  <c r="D37" i="12"/>
  <c r="C37" i="12"/>
  <c r="G36" i="12"/>
  <c r="F36" i="12"/>
  <c r="E36" i="12"/>
  <c r="D36" i="12"/>
  <c r="C36" i="12"/>
  <c r="G35" i="12"/>
  <c r="F35" i="12"/>
  <c r="E35" i="12"/>
  <c r="D35" i="12"/>
  <c r="C35" i="12"/>
  <c r="G34" i="12"/>
  <c r="F34" i="12"/>
  <c r="E34" i="12"/>
  <c r="D34" i="12"/>
  <c r="C34" i="12"/>
  <c r="G33" i="12"/>
  <c r="F33" i="12"/>
  <c r="E33" i="12"/>
  <c r="D33" i="12"/>
  <c r="C33" i="12"/>
  <c r="G32" i="12"/>
  <c r="F32" i="12"/>
  <c r="E32" i="12"/>
  <c r="D32" i="12"/>
  <c r="C32" i="12"/>
  <c r="D64" i="1"/>
  <c r="E64" i="1"/>
  <c r="F64" i="1"/>
  <c r="G64" i="1"/>
  <c r="C64" i="1"/>
  <c r="C23" i="1"/>
  <c r="D23" i="1"/>
  <c r="E23" i="1"/>
  <c r="F23" i="1"/>
  <c r="G23" i="1"/>
  <c r="F27" i="1"/>
  <c r="D3" i="3"/>
  <c r="E3" i="3" s="1"/>
  <c r="F3" i="3" s="1"/>
  <c r="G3" i="3" s="1"/>
  <c r="D3" i="2"/>
  <c r="E3" i="2" s="1"/>
  <c r="F3" i="2" s="1"/>
  <c r="G3" i="2" s="1"/>
  <c r="H3" i="2" s="1"/>
  <c r="D3" i="1"/>
  <c r="E3" i="1" s="1"/>
  <c r="F3" i="1" s="1"/>
  <c r="G3" i="1" s="1"/>
  <c r="D16" i="2"/>
  <c r="G29" i="11"/>
  <c r="F29" i="11"/>
  <c r="E29" i="11"/>
  <c r="D29" i="11"/>
  <c r="C29" i="11"/>
  <c r="G28" i="11"/>
  <c r="F28" i="11"/>
  <c r="E28" i="11"/>
  <c r="D28" i="11"/>
  <c r="C28" i="11"/>
  <c r="G27" i="11"/>
  <c r="F27" i="11"/>
  <c r="E27" i="11"/>
  <c r="D27" i="11"/>
  <c r="C27" i="11"/>
  <c r="G26" i="11"/>
  <c r="F26" i="11"/>
  <c r="E26" i="11"/>
  <c r="D26" i="11"/>
  <c r="C26" i="11"/>
  <c r="G25" i="11"/>
  <c r="F25" i="11"/>
  <c r="E25" i="11"/>
  <c r="D25" i="11"/>
  <c r="C25" i="11"/>
  <c r="F14" i="9"/>
  <c r="G37" i="11" s="1"/>
  <c r="E14" i="9"/>
  <c r="F37" i="11" s="1"/>
  <c r="D14" i="9"/>
  <c r="E37" i="11" s="1"/>
  <c r="C14" i="9"/>
  <c r="D37" i="11" s="1"/>
  <c r="B14" i="9"/>
  <c r="C37" i="11" s="1"/>
  <c r="F11" i="9"/>
  <c r="E11" i="9"/>
  <c r="D11" i="9"/>
  <c r="C11" i="9"/>
  <c r="B11" i="9"/>
  <c r="F10" i="9"/>
  <c r="E10" i="9"/>
  <c r="D10" i="9"/>
  <c r="C10" i="9"/>
  <c r="B10" i="9"/>
  <c r="F5" i="9"/>
  <c r="E5" i="9"/>
  <c r="D5" i="9"/>
  <c r="C5" i="9"/>
  <c r="B5" i="9"/>
  <c r="F4" i="9"/>
  <c r="E4" i="9"/>
  <c r="D4" i="9"/>
  <c r="C4" i="9"/>
  <c r="B4" i="9"/>
  <c r="G19" i="8"/>
  <c r="F19" i="8"/>
  <c r="E19" i="8"/>
  <c r="D19" i="8"/>
  <c r="C19" i="8"/>
  <c r="G9" i="8"/>
  <c r="F9" i="8"/>
  <c r="E9" i="8"/>
  <c r="D9" i="8"/>
  <c r="C9" i="8"/>
  <c r="G27" i="7"/>
  <c r="F27" i="7"/>
  <c r="E27" i="7"/>
  <c r="D27" i="7"/>
  <c r="C27" i="7"/>
  <c r="G21" i="7"/>
  <c r="F21" i="7"/>
  <c r="E21" i="7"/>
  <c r="D21" i="7"/>
  <c r="C21" i="7"/>
  <c r="G19" i="7"/>
  <c r="F19" i="7"/>
  <c r="E19" i="7"/>
  <c r="D19" i="7"/>
  <c r="C19" i="7"/>
  <c r="G14" i="7"/>
  <c r="F14" i="7"/>
  <c r="E14" i="7"/>
  <c r="D14" i="7"/>
  <c r="C14" i="7"/>
  <c r="G13" i="7"/>
  <c r="F11" i="12" s="1"/>
  <c r="F13" i="7"/>
  <c r="E11" i="12" s="1"/>
  <c r="E13" i="7"/>
  <c r="D11" i="12" s="1"/>
  <c r="D13" i="7"/>
  <c r="C11" i="12" s="1"/>
  <c r="C13" i="7"/>
  <c r="G6" i="7"/>
  <c r="F6" i="7"/>
  <c r="E6" i="7"/>
  <c r="D6" i="7"/>
  <c r="C6" i="7"/>
  <c r="G5" i="7"/>
  <c r="F5" i="7"/>
  <c r="E5" i="7"/>
  <c r="D5" i="7"/>
  <c r="C5" i="7"/>
  <c r="F6" i="6"/>
  <c r="F8" i="6" s="1"/>
  <c r="E6" i="6"/>
  <c r="E8" i="6" s="1"/>
  <c r="D6" i="6"/>
  <c r="D8" i="6" s="1"/>
  <c r="C6" i="6"/>
  <c r="C8" i="6" s="1"/>
  <c r="B6" i="6"/>
  <c r="B8" i="6" s="1"/>
  <c r="F14" i="5"/>
  <c r="E14" i="5"/>
  <c r="D14" i="5"/>
  <c r="C14" i="5"/>
  <c r="B14" i="5"/>
  <c r="F10" i="5"/>
  <c r="E10" i="5"/>
  <c r="D10" i="5"/>
  <c r="C10" i="5"/>
  <c r="B10" i="5"/>
  <c r="F7" i="5"/>
  <c r="F22" i="5" s="1"/>
  <c r="F25" i="5" s="1"/>
  <c r="F27" i="5" s="1"/>
  <c r="E7" i="5"/>
  <c r="E22" i="5" s="1"/>
  <c r="E25" i="5" s="1"/>
  <c r="E27" i="5" s="1"/>
  <c r="D7" i="5"/>
  <c r="D22" i="5" s="1"/>
  <c r="D25" i="5" s="1"/>
  <c r="D27" i="5" s="1"/>
  <c r="C7" i="5"/>
  <c r="C22" i="5" s="1"/>
  <c r="C25" i="5" s="1"/>
  <c r="C27" i="5" s="1"/>
  <c r="B7" i="5"/>
  <c r="B22" i="5" s="1"/>
  <c r="B25" i="5" s="1"/>
  <c r="B27" i="5" s="1"/>
  <c r="F33" i="4"/>
  <c r="E33" i="4"/>
  <c r="D33" i="4"/>
  <c r="C33" i="4"/>
  <c r="B33" i="4"/>
  <c r="F30" i="4"/>
  <c r="F47" i="4" s="1"/>
  <c r="E30" i="4"/>
  <c r="E47" i="4" s="1"/>
  <c r="D30" i="4"/>
  <c r="D47" i="4" s="1"/>
  <c r="C30" i="4"/>
  <c r="C47" i="4" s="1"/>
  <c r="B30" i="4"/>
  <c r="B47" i="4" s="1"/>
  <c r="F17" i="4"/>
  <c r="E17" i="4"/>
  <c r="D17" i="4"/>
  <c r="C17" i="4"/>
  <c r="B17" i="4"/>
  <c r="F14" i="4"/>
  <c r="E14" i="4"/>
  <c r="D14" i="4"/>
  <c r="C14" i="4"/>
  <c r="B14" i="4"/>
  <c r="F11" i="4"/>
  <c r="E11" i="4"/>
  <c r="D11" i="4"/>
  <c r="C11" i="4"/>
  <c r="B11" i="4"/>
  <c r="F6" i="4"/>
  <c r="E6" i="4"/>
  <c r="D6" i="4"/>
  <c r="C6" i="4"/>
  <c r="B6" i="4"/>
  <c r="F3" i="4"/>
  <c r="F22" i="4" s="1"/>
  <c r="F13" i="9" s="1"/>
  <c r="G40" i="11" s="1"/>
  <c r="E3" i="4"/>
  <c r="E22" i="4" s="1"/>
  <c r="E13" i="9" s="1"/>
  <c r="F40" i="11" s="1"/>
  <c r="D3" i="4"/>
  <c r="D22" i="4" s="1"/>
  <c r="D13" i="9" s="1"/>
  <c r="E40" i="11" s="1"/>
  <c r="C3" i="4"/>
  <c r="C22" i="4" s="1"/>
  <c r="C13" i="9" s="1"/>
  <c r="D40" i="11" s="1"/>
  <c r="B3" i="4"/>
  <c r="G9" i="3"/>
  <c r="F9" i="3"/>
  <c r="E9" i="3"/>
  <c r="D9" i="3"/>
  <c r="G40" i="2"/>
  <c r="F40" i="2"/>
  <c r="E40" i="2"/>
  <c r="D40" i="2"/>
  <c r="C40" i="2"/>
  <c r="G26" i="2"/>
  <c r="F26" i="2"/>
  <c r="E26" i="2"/>
  <c r="D26" i="2"/>
  <c r="C26" i="2"/>
  <c r="G16" i="2"/>
  <c r="F16" i="2"/>
  <c r="E16" i="2"/>
  <c r="C16" i="2"/>
  <c r="G12" i="2"/>
  <c r="F12" i="2"/>
  <c r="E12" i="2"/>
  <c r="D12" i="2"/>
  <c r="C12" i="2"/>
  <c r="G9" i="2"/>
  <c r="G35" i="2" s="1"/>
  <c r="G38" i="2" s="1"/>
  <c r="G43" i="2" s="1"/>
  <c r="F9" i="2"/>
  <c r="F35" i="2" s="1"/>
  <c r="F38" i="2" s="1"/>
  <c r="F43" i="2" s="1"/>
  <c r="E9" i="2"/>
  <c r="E35" i="2" s="1"/>
  <c r="E38" i="2" s="1"/>
  <c r="E43" i="2" s="1"/>
  <c r="D9" i="2"/>
  <c r="D35" i="2" s="1"/>
  <c r="D38" i="2" s="1"/>
  <c r="D43" i="2" s="1"/>
  <c r="C9" i="2"/>
  <c r="C35" i="2" s="1"/>
  <c r="C38" i="2" s="1"/>
  <c r="C43" i="2" s="1"/>
  <c r="G48" i="1"/>
  <c r="F48" i="1"/>
  <c r="E48" i="1"/>
  <c r="D48" i="1"/>
  <c r="C48" i="1"/>
  <c r="G44" i="1"/>
  <c r="F44" i="1"/>
  <c r="E44" i="1"/>
  <c r="D44" i="1"/>
  <c r="C44" i="1"/>
  <c r="G38" i="1"/>
  <c r="F38" i="1"/>
  <c r="E38" i="1"/>
  <c r="D38" i="1"/>
  <c r="C38" i="1"/>
  <c r="G35" i="1"/>
  <c r="G62" i="1" s="1"/>
  <c r="F35" i="1"/>
  <c r="E35" i="1"/>
  <c r="D35" i="1"/>
  <c r="C35" i="1"/>
  <c r="G27" i="1"/>
  <c r="E27" i="1"/>
  <c r="D27" i="1"/>
  <c r="C27" i="1"/>
  <c r="G22" i="1"/>
  <c r="C22" i="1"/>
  <c r="G15" i="1"/>
  <c r="F15" i="1"/>
  <c r="E15" i="1"/>
  <c r="D15" i="1"/>
  <c r="C15" i="1"/>
  <c r="G10" i="1"/>
  <c r="F10" i="1"/>
  <c r="E10" i="1"/>
  <c r="D10" i="1"/>
  <c r="C10" i="1"/>
  <c r="G6" i="1"/>
  <c r="F6" i="1"/>
  <c r="E6" i="1"/>
  <c r="D6" i="1"/>
  <c r="C6" i="1"/>
  <c r="G5" i="1"/>
  <c r="G33" i="1" s="1"/>
  <c r="F5" i="1"/>
  <c r="E5" i="1"/>
  <c r="D5" i="1"/>
  <c r="C5" i="1"/>
  <c r="C33" i="1" s="1"/>
  <c r="F22" i="1" l="1"/>
  <c r="F33" i="1" s="1"/>
  <c r="E22" i="1"/>
  <c r="E33" i="1" s="1"/>
  <c r="D22" i="1"/>
  <c r="D33" i="1" s="1"/>
  <c r="C24" i="7"/>
  <c r="G24" i="7"/>
  <c r="F18" i="12" s="1"/>
  <c r="F24" i="7"/>
  <c r="E18" i="12" s="1"/>
  <c r="E24" i="7"/>
  <c r="D18" i="12" s="1"/>
  <c r="D24" i="7"/>
  <c r="C18" i="12" s="1"/>
  <c r="C5" i="11"/>
  <c r="D5" i="11"/>
  <c r="C4" i="12"/>
  <c r="E5" i="11"/>
  <c r="D4" i="12"/>
  <c r="F5" i="11"/>
  <c r="E4" i="12"/>
  <c r="G5" i="11"/>
  <c r="F4" i="12"/>
  <c r="C13" i="11"/>
  <c r="D13" i="11"/>
  <c r="C12" i="12"/>
  <c r="E13" i="11"/>
  <c r="D12" i="12"/>
  <c r="F13" i="11"/>
  <c r="E12" i="12"/>
  <c r="G13" i="11"/>
  <c r="F12" i="12"/>
  <c r="C19" i="11"/>
  <c r="D19" i="11"/>
  <c r="C17" i="12"/>
  <c r="E19" i="11"/>
  <c r="D17" i="12"/>
  <c r="F19" i="11"/>
  <c r="E17" i="12"/>
  <c r="G19" i="11"/>
  <c r="F17" i="12"/>
  <c r="C11" i="11"/>
  <c r="D11" i="11"/>
  <c r="C8" i="12"/>
  <c r="E11" i="11"/>
  <c r="D8" i="12"/>
  <c r="F11" i="11"/>
  <c r="E8" i="12"/>
  <c r="G11" i="11"/>
  <c r="F8" i="12"/>
  <c r="C18" i="7"/>
  <c r="C62" i="1"/>
  <c r="D18" i="7"/>
  <c r="D62" i="1"/>
  <c r="E18" i="7"/>
  <c r="E62" i="1"/>
  <c r="F18" i="7"/>
  <c r="F62" i="1"/>
  <c r="G18" i="7"/>
  <c r="C13" i="3"/>
  <c r="D13" i="3"/>
  <c r="D11" i="3"/>
  <c r="E13" i="3"/>
  <c r="E11" i="3"/>
  <c r="F13" i="3"/>
  <c r="F11" i="3"/>
  <c r="G13" i="3"/>
  <c r="G11" i="3"/>
  <c r="B13" i="9"/>
  <c r="C40" i="11" s="1"/>
  <c r="B22" i="4"/>
  <c r="C10" i="7"/>
  <c r="C7" i="7"/>
  <c r="D10" i="7"/>
  <c r="D7" i="7"/>
  <c r="C5" i="12" s="1"/>
  <c r="E10" i="7"/>
  <c r="D7" i="12" s="1"/>
  <c r="E7" i="7"/>
  <c r="D5" i="12" s="1"/>
  <c r="F10" i="7"/>
  <c r="E7" i="12" s="1"/>
  <c r="F7" i="7"/>
  <c r="E5" i="12" s="1"/>
  <c r="G10" i="7"/>
  <c r="F7" i="12" s="1"/>
  <c r="G7" i="7"/>
  <c r="F5" i="12" s="1"/>
  <c r="C12" i="11"/>
  <c r="C16" i="7"/>
  <c r="D12" i="11"/>
  <c r="D16" i="7"/>
  <c r="E12" i="11"/>
  <c r="E15" i="11" s="1"/>
  <c r="E16" i="7"/>
  <c r="F12" i="11"/>
  <c r="F15" i="11" s="1"/>
  <c r="F16" i="7"/>
  <c r="G12" i="11"/>
  <c r="G16" i="7"/>
  <c r="C42" i="12"/>
  <c r="D42" i="12"/>
  <c r="E42" i="12"/>
  <c r="F42" i="12"/>
  <c r="C28" i="8"/>
  <c r="C27" i="8"/>
  <c r="C26" i="8"/>
  <c r="C25" i="8"/>
  <c r="C24" i="8"/>
  <c r="D28" i="8"/>
  <c r="D27" i="8"/>
  <c r="D26" i="8"/>
  <c r="D25" i="8"/>
  <c r="D24" i="8"/>
  <c r="E28" i="8"/>
  <c r="E27" i="8"/>
  <c r="E26" i="8"/>
  <c r="E25" i="8"/>
  <c r="E24" i="8"/>
  <c r="F28" i="8"/>
  <c r="F27" i="8"/>
  <c r="F26" i="8"/>
  <c r="F25" i="8"/>
  <c r="F24" i="8"/>
  <c r="G28" i="8"/>
  <c r="G27" i="8"/>
  <c r="G26" i="8"/>
  <c r="G25" i="8"/>
  <c r="G24" i="8"/>
  <c r="B8" i="9"/>
  <c r="B6" i="9"/>
  <c r="B7" i="9" s="1"/>
  <c r="C8" i="9"/>
  <c r="C6" i="9"/>
  <c r="C7" i="9" s="1"/>
  <c r="D8" i="9"/>
  <c r="D6" i="9"/>
  <c r="D7" i="9" s="1"/>
  <c r="E8" i="9"/>
  <c r="E6" i="9"/>
  <c r="E7" i="9" s="1"/>
  <c r="F8" i="9"/>
  <c r="F6" i="9"/>
  <c r="F7" i="9" s="1"/>
  <c r="C38" i="11"/>
  <c r="B12" i="9"/>
  <c r="C39" i="11" s="1"/>
  <c r="D38" i="11"/>
  <c r="C12" i="9"/>
  <c r="D39" i="11" s="1"/>
  <c r="E38" i="11"/>
  <c r="D12" i="9"/>
  <c r="E39" i="11" s="1"/>
  <c r="F38" i="11"/>
  <c r="E12" i="9"/>
  <c r="F39" i="11" s="1"/>
  <c r="G38" i="11"/>
  <c r="F12" i="9"/>
  <c r="G39" i="11" s="1"/>
  <c r="C7" i="12" l="1"/>
  <c r="D8" i="11"/>
  <c r="C8" i="11"/>
  <c r="D15" i="11"/>
  <c r="G15" i="11"/>
  <c r="C15" i="11"/>
  <c r="C9" i="11"/>
  <c r="G17" i="11"/>
  <c r="F14" i="12"/>
  <c r="F17" i="11"/>
  <c r="E14" i="12"/>
  <c r="E17" i="11"/>
  <c r="D14" i="12"/>
  <c r="D17" i="11"/>
  <c r="C14" i="12"/>
  <c r="C17" i="11"/>
  <c r="G20" i="11"/>
  <c r="F19" i="12"/>
  <c r="F20" i="11"/>
  <c r="E19" i="12"/>
  <c r="E20" i="11"/>
  <c r="D19" i="12"/>
  <c r="D20" i="11"/>
  <c r="C19" i="12"/>
  <c r="C20" i="11"/>
  <c r="F9" i="9"/>
  <c r="E9" i="9"/>
  <c r="D9" i="9"/>
  <c r="C9" i="9"/>
  <c r="B9" i="9"/>
  <c r="G9" i="11"/>
  <c r="G26" i="7"/>
  <c r="F9" i="11"/>
  <c r="F26" i="7"/>
  <c r="E9" i="11"/>
  <c r="E26" i="7"/>
  <c r="D9" i="11"/>
  <c r="D26" i="7"/>
  <c r="C26" i="7"/>
  <c r="G6" i="11"/>
  <c r="G9" i="7"/>
  <c r="G8" i="11"/>
  <c r="G12" i="7"/>
  <c r="F6" i="11"/>
  <c r="F9" i="7"/>
  <c r="F8" i="11"/>
  <c r="F12" i="7"/>
  <c r="E6" i="11"/>
  <c r="E9" i="7"/>
  <c r="E8" i="11"/>
  <c r="E12" i="7"/>
  <c r="D6" i="11"/>
  <c r="D9" i="7"/>
  <c r="D12" i="7"/>
  <c r="C6" i="11"/>
  <c r="C9" i="7"/>
  <c r="C12" i="7"/>
  <c r="C7" i="11" l="1"/>
  <c r="D7" i="11"/>
  <c r="C6" i="12"/>
  <c r="E7" i="11"/>
  <c r="D6" i="12"/>
  <c r="E6" i="12"/>
  <c r="G7" i="11"/>
  <c r="F6" i="12"/>
  <c r="C10" i="11"/>
  <c r="D10" i="11"/>
  <c r="C43" i="12"/>
  <c r="E10" i="11"/>
  <c r="D43" i="12"/>
  <c r="F10" i="11"/>
  <c r="E43" i="12"/>
  <c r="G10" i="11"/>
  <c r="F43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Tjarko Wiards</author>
  </authors>
  <commentList>
    <comment ref="D24" authorId="0" shapeId="0" xr:uid="{8F6CA45F-9946-40EE-946E-8849ED42C60F}">
      <text>
        <r>
          <rPr>
            <b/>
            <sz val="9"/>
            <color indexed="81"/>
            <rFont val="Tahoma"/>
            <charset val="1"/>
          </rPr>
          <t>Tjarko Wiards:</t>
        </r>
        <r>
          <rPr>
            <sz val="9"/>
            <color indexed="81"/>
            <rFont val="Tahoma"/>
            <charset val="1"/>
          </rPr>
          <t xml:space="preserve">
laut 2021 bericht negativ - aber macht imo wenig sinn</t>
        </r>
      </text>
    </comment>
    <comment ref="D35" authorId="0" shapeId="0" xr:uid="{389D7DDD-3992-4780-BA10-C483DFEEE0A6}">
      <text>
        <r>
          <rPr>
            <b/>
            <sz val="9"/>
            <color indexed="81"/>
            <rFont val="Tahoma"/>
            <charset val="1"/>
          </rPr>
          <t>Tjarko Wiards:</t>
        </r>
        <r>
          <rPr>
            <sz val="9"/>
            <color indexed="81"/>
            <rFont val="Tahoma"/>
            <charset val="1"/>
          </rPr>
          <t xml:space="preserve">
weicht von dem 2022er Bericht ab - imo aber falsch dort</t>
        </r>
      </text>
    </comment>
  </commentList>
</comments>
</file>

<file path=xl/sharedStrings.xml><?xml version="1.0" encoding="utf-8"?>
<sst xmlns="http://schemas.openxmlformats.org/spreadsheetml/2006/main" count="373" uniqueCount="235">
  <si>
    <t>EUR Mio.</t>
  </si>
  <si>
    <t>A. Anlagevermögen</t>
  </si>
  <si>
    <t>I. Immaterielle Vermögensgegenstände</t>
  </si>
  <si>
    <t>1. entgeltlich erworbene Konzessionen, gewerbliche Schutzrechte und ähnliche Rechte und Werte sowie Lizenzen an solchen Rechten und Werten</t>
  </si>
  <si>
    <t>2. Geschäfts- oder Firmenwert</t>
  </si>
  <si>
    <t>3. Baukostenzuschüsse</t>
  </si>
  <si>
    <t>II. Sachanlagen</t>
  </si>
  <si>
    <t>1. Grundstücke, grundstücksgleiche Rechte und Bauten einschließlich der Bauten auf fremden Grundstücken</t>
  </si>
  <si>
    <t>2. technische Anlagen und Maschinen</t>
  </si>
  <si>
    <t>3. Betriebs- und Geschäftsausstattung</t>
  </si>
  <si>
    <t>4. Anlagen im Bau</t>
  </si>
  <si>
    <t>III. Finanzanlagen</t>
  </si>
  <si>
    <t>1. Anteile an verbundenen Unternehmen</t>
  </si>
  <si>
    <t>2. Ausleihungen an verbundene Unternehmen</t>
  </si>
  <si>
    <t>3. Beteiligungen</t>
  </si>
  <si>
    <t>4. Ausleihungen an Unternehmen, mit denen ein Beteiligungsverhältnis besteht</t>
  </si>
  <si>
    <t>5. Wertpapiere des Anlagevermögens 50.783.225,56</t>
  </si>
  <si>
    <t>6. sonstige Ausleihungen</t>
  </si>
  <si>
    <t>B. Umlaufvermögen</t>
  </si>
  <si>
    <t>I. Vorräte</t>
  </si>
  <si>
    <t>1. nEHS-Zertifikate</t>
  </si>
  <si>
    <t>2. unfertige Leistungen</t>
  </si>
  <si>
    <t>3. fertige Erzeugnisse und Waren</t>
  </si>
  <si>
    <t>II. Forderungen und sonstige Vermögensgegenstände</t>
  </si>
  <si>
    <t>1. Forderungen aus Lieferungen und Leistungen</t>
  </si>
  <si>
    <t>2. Forderungen gegen nahe stehende Unternehmen</t>
  </si>
  <si>
    <t>3. sonstige Vermögensgegenstände</t>
  </si>
  <si>
    <t>III. Kassenbestand, Bundesbankguthaben, Guthaben bei Kreditinstituten und Schecks</t>
  </si>
  <si>
    <t>C. Rechnungsabgrenzungsposten</t>
  </si>
  <si>
    <t>Aktiva</t>
  </si>
  <si>
    <t>A. Eigenkapital</t>
  </si>
  <si>
    <t>I. Gezeichnetes Kapital 131.310.098,00</t>
  </si>
  <si>
    <t>II. Kapitalrücklage 99.807.492,71</t>
  </si>
  <si>
    <t>III. Gewinnrücklagen</t>
  </si>
  <si>
    <t>1. gesetzliche Rücklage 2.845.181,29</t>
  </si>
  <si>
    <t>2. andere Gewinnrücklagen</t>
  </si>
  <si>
    <t>IV. Bilanzgewinn / Bilanzverlust 0,00</t>
  </si>
  <si>
    <t>B. Sonderposten</t>
  </si>
  <si>
    <t>C. Rückstellungen</t>
  </si>
  <si>
    <t>1. Rückstellungen für Pensionen und ähnliche Verpflichtungen</t>
  </si>
  <si>
    <t>2. Steuerrückstellungen</t>
  </si>
  <si>
    <t>3. sonstige Rückstellungen</t>
  </si>
  <si>
    <t>D. Verbindlichkeiten</t>
  </si>
  <si>
    <t>1. Verbindlichkeiten gegenüber Kreditinstituten 20.000.000,00</t>
  </si>
  <si>
    <t>davon mit einer Restlaufzeit von mehr als einem Jahr 20.000.000,00</t>
  </si>
  <si>
    <t>2. erhaltene Anzahlungen auf Bestellungen</t>
  </si>
  <si>
    <t>davon mit einer Restlaufzeit bis zu einem Jahr</t>
  </si>
  <si>
    <t>3. Verbindlichkeiten aus Lieferungen und Leistungen</t>
  </si>
  <si>
    <t>4. Verbindlichkeiten gegenüber nahe stehenden Unternehmen</t>
  </si>
  <si>
    <t>davon mit einer Restlaufzeit von mehr als einem Jahr</t>
  </si>
  <si>
    <t>5. sonstige Verbindlichkeiten</t>
  </si>
  <si>
    <t>davon aus Steuern</t>
  </si>
  <si>
    <t>davon im Rahmen der sozialen Sicherheit</t>
  </si>
  <si>
    <t>E. Rechnungsabgrenzungsposten</t>
  </si>
  <si>
    <t>Passiva</t>
  </si>
  <si>
    <t>III. Kassenbestand, Guthaben bei Kreditinstituten</t>
  </si>
  <si>
    <t>IV. Bilanzgewinn 0,00</t>
  </si>
  <si>
    <t>I. Sonderposten mit Rücklageanteil</t>
  </si>
  <si>
    <t>II. Sonderposten für Investitionszuwendungen zum Anlagevermögen</t>
  </si>
  <si>
    <t>- davon aus Steuern: EUR</t>
  </si>
  <si>
    <t>1. Umsatzerlöse</t>
  </si>
  <si>
    <t>2. Erhöhung / Verminderung des Bestands an fertigen und unfertigen Erzeugnissen</t>
  </si>
  <si>
    <t>3. Andere aktivierte Eigenleistungen</t>
  </si>
  <si>
    <t>n.a.</t>
  </si>
  <si>
    <t>4. Sonstige betriebliche Erträge</t>
  </si>
  <si>
    <t>5. Materialaufwand</t>
  </si>
  <si>
    <t>a) Aufwendungen für Roh-, Hilfs- und Betriebsstoffe und für bezogene Waren</t>
  </si>
  <si>
    <t>b) Aufwendungen für bezogene Leistungen</t>
  </si>
  <si>
    <t>6. Personalaufwand</t>
  </si>
  <si>
    <t>a) Löhne und Gehälter</t>
  </si>
  <si>
    <t>b) Soziale Abgaben und Aufwendungen für Altersversorgung und für Unterstützung</t>
  </si>
  <si>
    <t>davon für Altersversorgung</t>
  </si>
  <si>
    <t>7. Abschreibungen auf immaterielle Vermögensgegenstände und Sachanlagen</t>
  </si>
  <si>
    <t>a) auf immaterielle Vermögensgegenstände und Sachanlagen</t>
  </si>
  <si>
    <t>8. Sonstige betriebliche Aufwendungen</t>
  </si>
  <si>
    <t>9. Erträge aus Beteiligungen</t>
  </si>
  <si>
    <t>davon aus verbundenen Unternehmen (Beteiligungserträge)</t>
  </si>
  <si>
    <t>10. Erträge aus Gewinnabführungsverträgen</t>
  </si>
  <si>
    <t>davon Steuerumlagen</t>
  </si>
  <si>
    <t>11. Erträge aus anderen Wertpapieren und Ausleihungen des Finanzanlagevermögens</t>
  </si>
  <si>
    <t>davon aus verbundenen Unternehmen (Finanzanlageerträge)</t>
  </si>
  <si>
    <t>12. Sonstige Zinsen und ähnliche Erträge</t>
  </si>
  <si>
    <t>13. Abschreibungen auf Finanzanlagen und auf Wertpapiere des Umlaufvermögens</t>
  </si>
  <si>
    <t>davon außerplanmäßige Abschreibungen auf Finanzanlagen</t>
  </si>
  <si>
    <t>14. Aufwendungen aus Verlustübernahmen</t>
  </si>
  <si>
    <t>15. Zinsen und ähnliche Aufwendungen</t>
  </si>
  <si>
    <t>davon an verbundene Unternehmen</t>
  </si>
  <si>
    <t>davon aus der Abzinsung</t>
  </si>
  <si>
    <t>16. Steuern vom Einkommen und vom Ertrag</t>
  </si>
  <si>
    <t>davon Steuerumlagen an den Organträger</t>
  </si>
  <si>
    <t>17. Ergebnis nach Steuern</t>
  </si>
  <si>
    <t>18. Sonstige Steuern</t>
  </si>
  <si>
    <t>19. Abgeführte Gewinne aufgrund eines Gewinnabführungsvertrags</t>
  </si>
  <si>
    <t>20. Jahresüberschuss</t>
  </si>
  <si>
    <t>21. Einstellungen in Gewinnrücklagen</t>
  </si>
  <si>
    <t>a) in andere Gewinnrücklagen</t>
  </si>
  <si>
    <t>22. Bilanzgewinn / Bilanzverlust</t>
  </si>
  <si>
    <t>Cashflow aus laufender Geschäftstätigkeit</t>
  </si>
  <si>
    <t>Cashflow aus der Investitionstätigkeit</t>
  </si>
  <si>
    <t>Cashflow aus der Finanzierungstätigkeit</t>
  </si>
  <si>
    <t>Finanzmittelfonds am Jahresende</t>
  </si>
  <si>
    <t>Veränderung der zahlungswirksamen Liquidität</t>
  </si>
  <si>
    <t>Energienetze Mittelrhein GmbH &amp; Co. KG – Bilanz 2020–2024</t>
  </si>
  <si>
    <t>3. andere Anlagen, Betriebs- und Geschäftsausstattung</t>
  </si>
  <si>
    <t>4. geleistete Anzahlungen und Anlagen im Bau</t>
  </si>
  <si>
    <t>1. Anteile an verbundenen Unternehmen 25.000,00</t>
  </si>
  <si>
    <t>2. sonstige Ausleihungen</t>
  </si>
  <si>
    <t>1. Roh-, Hilfs- und Betriebsstoffe</t>
  </si>
  <si>
    <t>2. Forderungen gegen nahestehende Unternehmen</t>
  </si>
  <si>
    <t>4. sonstige Vermögensgegenstände</t>
  </si>
  <si>
    <t>A. Eigenkapital 126.946.671,08</t>
  </si>
  <si>
    <t>I. Kapitalanteile 525.000,00</t>
  </si>
  <si>
    <t>2. Kapitalanteile Kommanditisten 525.000,00</t>
  </si>
  <si>
    <t>II. Rücklagen 126.421.671,08</t>
  </si>
  <si>
    <t>III. Bilanzgewinn / Bilanzverlust 0,00</t>
  </si>
  <si>
    <t>C. Ausgleichsposten für aktivierte eigene Anteile 25.000,00</t>
  </si>
  <si>
    <t>D. Rückstellungen</t>
  </si>
  <si>
    <t>1. Steuerrückstellungen</t>
  </si>
  <si>
    <t>2. sonstige Rückstellungen</t>
  </si>
  <si>
    <t>E. Verbindlichkeiten</t>
  </si>
  <si>
    <t>1. erhaltene Anzahlungen auf Bestellungen</t>
  </si>
  <si>
    <t>2. Verbindlichkeiten aus Lieferungen und Leistungen</t>
  </si>
  <si>
    <t>3. Verbindlichkeiten gegenüber nahestehenden Unternehmen</t>
  </si>
  <si>
    <t>4. Verbindlichkeiten gegenüber Gebietskörperschaften</t>
  </si>
  <si>
    <t>F. Rechnungsabgrenzungsposten</t>
  </si>
  <si>
    <t>2. Unfertige Leistungen</t>
  </si>
  <si>
    <t>3. Forderungen gegen Gebietskörperschaften</t>
  </si>
  <si>
    <t>A. EIGENKAPITAL</t>
  </si>
  <si>
    <t>II. Rücklagen</t>
  </si>
  <si>
    <t>C. SONDERPOSTEN MIT RÜCKLAGEANTEIL</t>
  </si>
  <si>
    <t>D. SONDERPOSTEN FÜR INVESTITIONSZUWENDUNGEN ZUM ANLAGEVERMÖGEN</t>
  </si>
  <si>
    <t>III. Jahresüberschuss 0,00</t>
  </si>
  <si>
    <t>2. unfertige Leistungen aus Auftragsarbeiten</t>
  </si>
  <si>
    <t>Quelle: EN 2020.pdf bis EN 2024.pdf. Werte aus den veröffentlichten HGB-Einzelabschlüssen. 2021 wurde zur besseren Konsistenz aus der Vorjahresspalte des Abschlusses 2022 übernommen. Cashflow-Angaben entsprechen den im Lagebericht veröffentlichten Kurzfassungen. 2020/2021 sind aufgrund der Neuallokation von Netzanlagen nur eingeschränkt vergleichbar.</t>
  </si>
  <si>
    <t>Energienetze Mittelrhein GmbH &amp; Co. KG – GuV 2020–2024</t>
  </si>
  <si>
    <t>2. Erhöhung / Verminderung des Bestands an unfertigen Erzeugnissen</t>
  </si>
  <si>
    <t>9. Sonstige Zinsen und ähnliche Erträge</t>
  </si>
  <si>
    <t>davon aus verbundenen Unternehmen</t>
  </si>
  <si>
    <t>10. Zinsen und ähnliche Aufwendungen</t>
  </si>
  <si>
    <t>11. Steuern vom Einkommen und vom Ertrag</t>
  </si>
  <si>
    <t>12. Ergebnis nach Steuern</t>
  </si>
  <si>
    <t>13. Sonstige Steuern</t>
  </si>
  <si>
    <t>14. Erträge aus Verlustübernahme</t>
  </si>
  <si>
    <t>15. Jahresüberschuss / -fehlbetrag</t>
  </si>
  <si>
    <t>16. Gutschrift auf Kapitalkonten</t>
  </si>
  <si>
    <t>17. Bilanzgewinn / Bilanzverlust</t>
  </si>
  <si>
    <t>Quelle: ENM-Jahresabschlüsse 2020–2024. Einheitliche Struktur als vollständige Vereinigungsmenge sämtlicher in den Primärabschlüssen ausgewiesener GuV-Positionen. „n.a.“ bedeutet, dass die Position im jeweiligen Jahresabschluss nicht separat ausgewiesen wurde; dies ist nicht mit einem Wert von null gleichzusetzen.</t>
  </si>
  <si>
    <t>Energienetze Mittelrhein GmbH &amp; Co. KG – Kapitalflussrechnung 2020–2024</t>
  </si>
  <si>
    <t>Liquidität zum Jahresanfang</t>
  </si>
  <si>
    <t>Liquidität zum Jahresende</t>
  </si>
  <si>
    <t>EVM AG – Key Financials</t>
  </si>
  <si>
    <t>EUR Mio. / % / x</t>
  </si>
  <si>
    <t>Umsatz</t>
  </si>
  <si>
    <t>Gesamtleistung</t>
  </si>
  <si>
    <t>Rohertrag</t>
  </si>
  <si>
    <t>Rohertragsmarge</t>
  </si>
  <si>
    <t>EBITDA</t>
  </si>
  <si>
    <t>EBIT</t>
  </si>
  <si>
    <t>OCF</t>
  </si>
  <si>
    <t>ICF</t>
  </si>
  <si>
    <t>FCF</t>
  </si>
  <si>
    <t>Kassenbestand</t>
  </si>
  <si>
    <t>Eigenkapitalquote</t>
  </si>
  <si>
    <t>Net Debt</t>
  </si>
  <si>
    <t>Net Debt / EBITDA</t>
  </si>
  <si>
    <t>Capex</t>
  </si>
  <si>
    <t>EVM AG – Capex und Umsatzaufteilung</t>
  </si>
  <si>
    <t>Immaterielle Vermögenswerte und Sachanlagen</t>
  </si>
  <si>
    <t>davon Leitungsnetze</t>
  </si>
  <si>
    <t>Sonstige Capex</t>
  </si>
  <si>
    <t>Umsatzaufteilung nach Tätigkeitsbereichen</t>
  </si>
  <si>
    <t>Erdgasverkauf</t>
  </si>
  <si>
    <t>Stromverkauf</t>
  </si>
  <si>
    <t>Miet- und Pachterträge</t>
  </si>
  <si>
    <t>Dienstleistungserträge</t>
  </si>
  <si>
    <t>Sonstige</t>
  </si>
  <si>
    <t>Umsatz gesamt</t>
  </si>
  <si>
    <t>Umsatzmix</t>
  </si>
  <si>
    <t>enm – Key Financials</t>
  </si>
  <si>
    <t>EUR Mio. / %</t>
  </si>
  <si>
    <t>enm – Capex-Entwicklung</t>
  </si>
  <si>
    <t>Investitionen in immaterielle Vermögenswerte und Sachanlagen</t>
  </si>
  <si>
    <t>Die Lageberichte 2021–2024 nennen Leitungsnetze als wesentlichen Investitionsschwerpunkt, veröffentlichen jedoch keine durchgängige quantitative Aufteilung nach Asset-Kategorien. 2020 ohne Zugänge aus der Netzanlagenübertragung.</t>
  </si>
  <si>
    <t>Umsatzaufteilung</t>
  </si>
  <si>
    <t>enm – ergänzende operative Finanzkennzahlen</t>
  </si>
  <si>
    <t>Methodik: Net Debt = Verbindlichkeiten gegenüber Kreditinstituten abzüglich Kassenbestand. Intercompany-Finanzierungen und Pensionsrückstellungen sind nicht einbezogen, da eine belastbare Trennung von operativen und finanzierungsbezogenen Positionen aus den veröffentlichten Einzelabschlüssen nicht durchgängig möglich ist. FCF = OCF + ICF.</t>
  </si>
  <si>
    <t>Die GuV-Reihen von evm AG und enm folgen nun einer einheitlichen Maximalstruktur: Sämtliche Positionen, die in mindestens einem Abschluss 2020–2024 separat ausgewiesen wurden, sind enthalten. Nicht separat ausgewiesene Positionen werden als „n.a.“ dargestellt und nicht als null interpretiert.</t>
  </si>
  <si>
    <t>Entwicklung der Verschuldung</t>
  </si>
  <si>
    <t>CF</t>
  </si>
  <si>
    <t>Operating Cash Flow</t>
  </si>
  <si>
    <t>Investing Cash Flow</t>
  </si>
  <si>
    <t>Financing Cashflow</t>
  </si>
  <si>
    <t>(%) Rohertragsmarge</t>
  </si>
  <si>
    <t>(%) Eigenkapitalquote</t>
  </si>
  <si>
    <t>(-) Kassenbestand</t>
  </si>
  <si>
    <t>(-) Ford. ggü. verbundene/assoziierte Unternehmen</t>
  </si>
  <si>
    <t>(+) Finanzverbindlichkeiten</t>
  </si>
  <si>
    <t>(+) Pensionsrückstellungen</t>
  </si>
  <si>
    <t>(+) Verb. ggü. verbundene/assoziierte Unternehmen</t>
  </si>
  <si>
    <t>(+) Zahlungswirksame Veränderungen des Finanzmittelfonds</t>
  </si>
  <si>
    <t>(+) Finanzmittelfonds am Jahresanfang</t>
  </si>
  <si>
    <t>(+) Cashflow aus laufender Geschäftstätigkeit</t>
  </si>
  <si>
    <t>(+) Cashflow aus der Investitionstätigkeit</t>
  </si>
  <si>
    <t>(+) Cashflow aus der Finanzierungstätigkeit</t>
  </si>
  <si>
    <t>FFCF</t>
  </si>
  <si>
    <t xml:space="preserve">FFCF </t>
  </si>
  <si>
    <t>Total CF</t>
  </si>
  <si>
    <t>Quelle: EVM 2020.pdf bis EVM 2025.pdf. Werte aus den veröffentlichten HGB-Einzelabschlüssen. 2021 wurde zur besseren Konsistenz aus der Vorjahresspalte des Abschlusses 2022 übernommen. Cashflow-Angaben entsprechen den im Lagebericht veröffentlichten Kurzfassungen. 2020/2021 sind aufgrund der Neuallokation von Netzanlagen nur eingeschränkt vergleichbar.</t>
  </si>
  <si>
    <t>Quelle: EVM-Jahresabschlüsse 2020–2025. Einheitliche Struktur als vollständige Vereinigungsmenge sämtlicher in den Primärabschlüssen ausgewiesener GuV-Positionen. „n.a.“ bedeutet, dass die Position im jeweiligen Jahresabschluss nicht separat ausgewiesen wurde; dies ist nicht mit einem Wert von null gleichzusetzen.</t>
  </si>
  <si>
    <t>Energieversorgung Mittelrhein AG – Bilanz 2020–2025</t>
  </si>
  <si>
    <t>Energieversorgung Mittelrhein AG – GuV 2020–2025</t>
  </si>
  <si>
    <t>Spannungsebene</t>
  </si>
  <si>
    <t>Kabel</t>
  </si>
  <si>
    <t>Mittelspannung</t>
  </si>
  <si>
    <t>Niederspannung</t>
  </si>
  <si>
    <t>Druckstufe</t>
  </si>
  <si>
    <t>Länge</t>
  </si>
  <si>
    <t>HD-Netz</t>
  </si>
  <si>
    <t>MD-Netz</t>
  </si>
  <si>
    <t>ND-Netz</t>
  </si>
  <si>
    <t>EVM AG – Financial Overview 2020–2025</t>
  </si>
  <si>
    <t>EVM AG – Financial Overview 2021–2025</t>
  </si>
  <si>
    <t>Quelle: EVM-Jahresabschlüsse 2020–2025, Lagebericht (Investitionen) und Anhang, Erläuterungen zur GuV (Umsatzerlöse nach Tätigkeitsbereichen).</t>
  </si>
  <si>
    <t>Quelle: EVM 2020 bis EVM 2025. Werte aus den veröffentlichten HGB-Einzelabschlüssen. 2021 wurde zur besseren Konsistenz aus der Vorjahresspalte des Abschlusses 2022 übernommen. Cashflow-Angaben entsprechen den im Lagebericht veröffentlichten Kurzfassungen. 2020/2021 sind aufgrund der Neuallokation von Netzanlagen nur eingeschränkt vergleichbar.</t>
  </si>
  <si>
    <t>Die GuV-Reihen von evm AG und enm folgen nun einer einheitlichen Maximalstruktur: Sämtliche Positionen, die in mindestens einem Abschluss 2020–2025 separat ausgewiesen wurden, sind enthalten. Nicht separat ausgewiesene Positionen werden als „n.a.“ dargestellt und nicht als null interpretiert.</t>
  </si>
  <si>
    <t>Energieversorgung Mittelrhein AG - Ntezlängen der enm</t>
  </si>
  <si>
    <t>Stromnetz gesamt</t>
  </si>
  <si>
    <t>Gesamt (km)</t>
  </si>
  <si>
    <t>Freileitung (km)</t>
  </si>
  <si>
    <t>in Kilometer</t>
  </si>
  <si>
    <t>Erdgasnetz - Rohrnetzlänge</t>
  </si>
  <si>
    <t>Erdgasnetz gesamt</t>
  </si>
  <si>
    <t>Quelle Strom: Energienetze Mittelrhein GmbH &amp; Co. KG, Veröffentlichung nach § 23c Abs. 1 EnWG, Stand 31.12.2025.</t>
  </si>
  <si>
    <t>Quelle Gas: Energienetze Mittelrhein GmbH &amp; Co. KG, Netzstrukturdaten Erdgas, Stand 31.12.2025.</t>
  </si>
  <si>
    <t>Energieversorgung Mittelrhein AG - Kapitalflussrechnung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</si>
</sst>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[Red]\(#,##0.0\);\-"/>
    <numFmt numFmtId="165" formatCode="0.0%;[Red]\(0.0%\);\-"/>
    <numFmt numFmtId="166" formatCode="0.0\x;[Red]\(0.0\x\);\-"/>
    <numFmt numFmtId="167" formatCode="#,##0.0;\(#,##0.0\);\-"/>
  </numFmts>
  <fonts count="40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color rgb="FF0000FF"/>
      <name val="Carlito"/>
    </font>
    <font>
      <b/>
      <sz val="11"/>
      <color rgb="FF0000FF"/>
      <name val="Carlito"/>
    </font>
    <font>
      <i/>
      <sz val="8"/>
      <color rgb="FF666666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i/>
      <sz val="11"/>
      <color rgb="FF808080"/>
      <name val="Carlito"/>
    </font>
    <font>
      <b/>
      <i/>
      <sz val="8"/>
      <color rgb="FF666666"/>
      <name val="Carlito"/>
    </font>
    <font>
      <sz val="11"/>
      <name val="Carlito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8"/>
      <color rgb="FF666666"/>
      <name val="Univers for Metzler"/>
      <family val="2"/>
    </font>
    <font>
      <sz val="11"/>
      <name val="Univers for Metzler"/>
      <family val="2"/>
    </font>
    <font>
      <b/>
      <sz val="16"/>
      <color rgb="FFFFFFFF"/>
      <name val="Univers for Metzler"/>
      <family val="2"/>
    </font>
    <font>
      <b/>
      <sz val="11"/>
      <color theme="0"/>
      <name val="Univers for Metzler"/>
      <family val="2"/>
    </font>
    <font>
      <b/>
      <sz val="11"/>
      <name val="Univers for Metzler"/>
      <family val="2"/>
    </font>
    <font>
      <b/>
      <sz val="11"/>
      <color rgb="FF008000"/>
      <name val="Univers for Metzler"/>
      <family val="2"/>
    </font>
    <font>
      <sz val="11"/>
      <color rgb="FF008000"/>
      <name val="Univers for Metzler"/>
      <family val="2"/>
    </font>
    <font>
      <b/>
      <sz val="11"/>
      <color rgb="FFFFFFFF"/>
      <name val="Univers for Metzler"/>
      <family val="2"/>
    </font>
    <font>
      <b/>
      <sz val="14"/>
      <color rgb="FFFFFFFF"/>
      <name val="Univers for Metzler"/>
      <family val="2"/>
    </font>
    <font>
      <b/>
      <sz val="11"/>
      <color rgb="FF000000"/>
      <name val="Univers for Metzler"/>
      <family val="2"/>
    </font>
    <font>
      <sz val="11"/>
      <color rgb="FF0000FF"/>
      <name val="Univers for Metzler"/>
      <family val="2"/>
    </font>
    <font>
      <b/>
      <sz val="11"/>
      <color rgb="FF0000FF"/>
      <name val="Univers for Metzler"/>
      <family val="2"/>
    </font>
    <font>
      <b/>
      <sz val="16"/>
      <color rgb="FFFFFFFF"/>
      <name val="Universe"/>
    </font>
    <font>
      <sz val="11"/>
      <name val="Universe"/>
    </font>
    <font>
      <b/>
      <sz val="11"/>
      <color theme="0"/>
      <name val="Universe"/>
    </font>
    <font>
      <b/>
      <sz val="11"/>
      <name val="Universe"/>
    </font>
    <font>
      <b/>
      <sz val="11"/>
      <color rgb="FF008000"/>
      <name val="Universe"/>
    </font>
    <font>
      <sz val="11"/>
      <color rgb="FF008000"/>
      <name val="Universe"/>
    </font>
    <font>
      <b/>
      <sz val="11"/>
      <color rgb="FFFFFFFF"/>
      <name val="Universe"/>
    </font>
    <font>
      <i/>
      <sz val="8"/>
      <color rgb="FF666666"/>
      <name val="Universe"/>
    </font>
    <font>
      <i/>
      <sz val="11"/>
      <color rgb="FF808080"/>
      <name val="Univers for Metzler"/>
      <family val="2"/>
    </font>
    <font>
      <b/>
      <i/>
      <sz val="11"/>
      <color rgb="FF808080"/>
      <name val="Univers for Metzler"/>
      <family val="2"/>
    </font>
    <font>
      <sz val="11"/>
      <color rgb="FF000000"/>
      <name val="Univers for Metzler"/>
      <family val="2"/>
    </font>
    <font>
      <i/>
      <sz val="11"/>
      <name val="Univers for Metzler"/>
      <family val="2"/>
    </font>
    <font>
      <b/>
      <sz val="14"/>
      <color theme="0"/>
      <name val="Univers for Metzler"/>
      <family val="2"/>
    </font>
    <font>
      <sz val="11"/>
      <color theme="0"/>
      <name val="Univers for Metzler"/>
      <family val="2"/>
    </font>
    <font>
      <i/>
      <sz val="8"/>
      <color rgb="FF808080"/>
      <name val="Univers for Metzler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68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2" xfId="0" applyFont="1" applyBorder="1"/>
    <xf numFmtId="164" fontId="4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7" fillId="0" borderId="2" xfId="0" applyNumberFormat="1" applyFont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2" fillId="7" borderId="0" xfId="0" applyFont="1" applyFill="1"/>
    <xf numFmtId="0" fontId="2" fillId="7" borderId="0" xfId="0" applyFont="1" applyFill="1" applyAlignment="1">
      <alignment horizontal="right"/>
    </xf>
    <xf numFmtId="0" fontId="0" fillId="0" borderId="3" xfId="0" applyBorder="1"/>
    <xf numFmtId="164" fontId="3" fillId="0" borderId="3" xfId="0" applyNumberFormat="1" applyFont="1" applyBorder="1" applyAlignment="1">
      <alignment horizontal="right"/>
    </xf>
    <xf numFmtId="0" fontId="2" fillId="0" borderId="3" xfId="0" applyFont="1" applyBorder="1"/>
    <xf numFmtId="164" fontId="4" fillId="0" borderId="3" xfId="0" applyNumberFormat="1" applyFont="1" applyBorder="1" applyAlignment="1">
      <alignment horizontal="right"/>
    </xf>
    <xf numFmtId="164" fontId="8" fillId="0" borderId="3" xfId="0" applyNumberFormat="1" applyFont="1" applyBorder="1" applyAlignment="1">
      <alignment horizontal="right"/>
    </xf>
    <xf numFmtId="0" fontId="0" fillId="0" borderId="1" xfId="0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/>
    <xf numFmtId="0" fontId="16" fillId="9" borderId="0" xfId="0" applyFont="1" applyFill="1" applyAlignment="1">
      <alignment vertical="center"/>
    </xf>
    <xf numFmtId="0" fontId="16" fillId="9" borderId="0" xfId="0" applyFont="1" applyFill="1" applyAlignment="1">
      <alignment horizontal="right" vertical="center"/>
    </xf>
    <xf numFmtId="0" fontId="17" fillId="0" borderId="4" xfId="0" applyFont="1" applyBorder="1" applyAlignment="1">
      <alignment vertical="center"/>
    </xf>
    <xf numFmtId="167" fontId="18" fillId="0" borderId="4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vertical="center"/>
    </xf>
    <xf numFmtId="167" fontId="19" fillId="0" borderId="1" xfId="0" applyNumberFormat="1" applyFont="1" applyBorder="1" applyAlignment="1">
      <alignment horizontal="right" vertical="center"/>
    </xf>
    <xf numFmtId="165" fontId="19" fillId="0" borderId="1" xfId="0" applyNumberFormat="1" applyFont="1" applyBorder="1" applyAlignment="1">
      <alignment horizontal="right" vertical="center"/>
    </xf>
    <xf numFmtId="166" fontId="19" fillId="0" borderId="1" xfId="0" applyNumberFormat="1" applyFont="1" applyBorder="1" applyAlignment="1">
      <alignment horizontal="right" vertical="center"/>
    </xf>
    <xf numFmtId="0" fontId="14" fillId="0" borderId="4" xfId="0" applyFont="1" applyBorder="1" applyAlignment="1">
      <alignment vertical="center"/>
    </xf>
    <xf numFmtId="167" fontId="19" fillId="0" borderId="4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vertical="center"/>
    </xf>
    <xf numFmtId="167" fontId="18" fillId="0" borderId="1" xfId="0" applyNumberFormat="1" applyFont="1" applyBorder="1" applyAlignment="1">
      <alignment horizontal="right" vertical="center"/>
    </xf>
    <xf numFmtId="0" fontId="20" fillId="8" borderId="0" xfId="0" applyFont="1" applyFill="1" applyAlignment="1">
      <alignment horizontal="right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right" vertical="center"/>
    </xf>
    <xf numFmtId="167" fontId="19" fillId="0" borderId="0" xfId="0" applyNumberFormat="1" applyFont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indent="1"/>
    </xf>
    <xf numFmtId="0" fontId="16" fillId="9" borderId="0" xfId="0" applyFont="1" applyFill="1"/>
    <xf numFmtId="0" fontId="16" fillId="9" borderId="0" xfId="0" applyFont="1" applyFill="1" applyAlignment="1">
      <alignment horizontal="right"/>
    </xf>
    <xf numFmtId="0" fontId="16" fillId="0" borderId="1" xfId="0" applyFont="1" applyBorder="1"/>
    <xf numFmtId="0" fontId="16" fillId="0" borderId="1" xfId="0" applyFont="1" applyBorder="1" applyAlignment="1">
      <alignment horizontal="right"/>
    </xf>
    <xf numFmtId="0" fontId="17" fillId="0" borderId="2" xfId="0" applyFont="1" applyBorder="1"/>
    <xf numFmtId="167" fontId="22" fillId="0" borderId="2" xfId="0" applyNumberFormat="1" applyFont="1" applyBorder="1" applyAlignment="1">
      <alignment horizontal="right"/>
    </xf>
    <xf numFmtId="167" fontId="23" fillId="0" borderId="0" xfId="0" applyNumberFormat="1" applyFont="1" applyAlignment="1">
      <alignment horizontal="right"/>
    </xf>
    <xf numFmtId="167" fontId="24" fillId="0" borderId="2" xfId="0" applyNumberFormat="1" applyFont="1" applyBorder="1" applyAlignment="1">
      <alignment horizontal="right"/>
    </xf>
    <xf numFmtId="0" fontId="17" fillId="0" borderId="1" xfId="0" applyFont="1" applyBorder="1"/>
    <xf numFmtId="167" fontId="22" fillId="0" borderId="1" xfId="0" applyNumberFormat="1" applyFont="1" applyBorder="1" applyAlignment="1">
      <alignment horizontal="right"/>
    </xf>
    <xf numFmtId="167" fontId="24" fillId="0" borderId="1" xfId="0" applyNumberFormat="1" applyFont="1" applyBorder="1" applyAlignment="1">
      <alignment horizontal="right"/>
    </xf>
    <xf numFmtId="0" fontId="14" fillId="0" borderId="1" xfId="0" applyFont="1" applyBorder="1"/>
    <xf numFmtId="167" fontId="14" fillId="0" borderId="1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9" fontId="14" fillId="0" borderId="0" xfId="1" applyFont="1" applyFill="1" applyBorder="1" applyAlignment="1">
      <alignment horizontal="left" vertical="center"/>
    </xf>
    <xf numFmtId="164" fontId="19" fillId="0" borderId="0" xfId="0" applyNumberFormat="1" applyFont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6" fillId="9" borderId="1" xfId="0" applyFont="1" applyFill="1" applyBorder="1" applyAlignment="1">
      <alignment horizontal="center" vertical="center"/>
    </xf>
    <xf numFmtId="0" fontId="26" fillId="0" borderId="0" xfId="0" applyFont="1"/>
    <xf numFmtId="0" fontId="27" fillId="9" borderId="0" xfId="0" applyFont="1" applyFill="1" applyAlignment="1">
      <alignment vertical="center"/>
    </xf>
    <xf numFmtId="0" fontId="27" fillId="9" borderId="0" xfId="0" applyFont="1" applyFill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right" vertical="center"/>
    </xf>
    <xf numFmtId="0" fontId="28" fillId="0" borderId="4" xfId="0" applyFont="1" applyBorder="1" applyAlignment="1">
      <alignment vertical="center"/>
    </xf>
    <xf numFmtId="167" fontId="29" fillId="0" borderId="4" xfId="0" applyNumberFormat="1" applyFont="1" applyBorder="1" applyAlignment="1">
      <alignment horizontal="right" vertical="center"/>
    </xf>
    <xf numFmtId="0" fontId="26" fillId="0" borderId="1" xfId="0" applyFont="1" applyBorder="1" applyAlignment="1">
      <alignment vertical="center"/>
    </xf>
    <xf numFmtId="167" fontId="30" fillId="0" borderId="1" xfId="0" applyNumberFormat="1" applyFont="1" applyBorder="1" applyAlignment="1">
      <alignment horizontal="right" vertical="center"/>
    </xf>
    <xf numFmtId="165" fontId="30" fillId="0" borderId="1" xfId="0" applyNumberFormat="1" applyFont="1" applyBorder="1" applyAlignment="1">
      <alignment horizontal="right" vertical="center"/>
    </xf>
    <xf numFmtId="166" fontId="30" fillId="0" borderId="1" xfId="0" applyNumberFormat="1" applyFont="1" applyBorder="1" applyAlignment="1">
      <alignment horizontal="right" vertical="center"/>
    </xf>
    <xf numFmtId="0" fontId="26" fillId="0" borderId="4" xfId="0" applyFont="1" applyBorder="1" applyAlignment="1">
      <alignment vertical="center"/>
    </xf>
    <xf numFmtId="167" fontId="30" fillId="0" borderId="4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vertical="center"/>
    </xf>
    <xf numFmtId="167" fontId="29" fillId="0" borderId="1" xfId="0" applyNumberFormat="1" applyFont="1" applyBorder="1" applyAlignment="1">
      <alignment horizontal="right" vertical="center"/>
    </xf>
    <xf numFmtId="0" fontId="31" fillId="0" borderId="1" xfId="0" applyFont="1" applyBorder="1" applyAlignment="1">
      <alignment vertical="center"/>
    </xf>
    <xf numFmtId="0" fontId="31" fillId="0" borderId="1" xfId="0" applyFont="1" applyBorder="1" applyAlignment="1">
      <alignment horizontal="right" vertical="center"/>
    </xf>
    <xf numFmtId="167" fontId="30" fillId="0" borderId="0" xfId="0" applyNumberFormat="1" applyFont="1" applyAlignment="1">
      <alignment horizontal="right" vertical="center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horizontal="right" vertical="center"/>
    </xf>
    <xf numFmtId="165" fontId="30" fillId="0" borderId="0" xfId="0" applyNumberFormat="1" applyFont="1" applyAlignment="1">
      <alignment horizontal="right" vertical="center"/>
    </xf>
    <xf numFmtId="0" fontId="16" fillId="9" borderId="1" xfId="0" applyFont="1" applyFill="1" applyBorder="1"/>
    <xf numFmtId="0" fontId="16" fillId="9" borderId="1" xfId="0" applyFont="1" applyFill="1" applyBorder="1" applyAlignment="1">
      <alignment horizontal="right"/>
    </xf>
    <xf numFmtId="0" fontId="17" fillId="0" borderId="1" xfId="0" applyFont="1" applyBorder="1" applyAlignment="1">
      <alignment horizontal="left"/>
    </xf>
    <xf numFmtId="167" fontId="23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167" fontId="33" fillId="0" borderId="1" xfId="0" applyNumberFormat="1" applyFont="1" applyBorder="1" applyAlignment="1">
      <alignment horizontal="right"/>
    </xf>
    <xf numFmtId="0" fontId="17" fillId="0" borderId="6" xfId="0" applyFont="1" applyBorder="1"/>
    <xf numFmtId="167" fontId="22" fillId="0" borderId="6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 indent="1"/>
    </xf>
    <xf numFmtId="167" fontId="34" fillId="0" borderId="1" xfId="0" applyNumberFormat="1" applyFont="1" applyBorder="1" applyAlignment="1">
      <alignment horizontal="right"/>
    </xf>
    <xf numFmtId="164" fontId="23" fillId="0" borderId="1" xfId="0" applyNumberFormat="1" applyFont="1" applyBorder="1" applyAlignment="1">
      <alignment horizontal="right"/>
    </xf>
    <xf numFmtId="164" fontId="24" fillId="0" borderId="1" xfId="0" applyNumberFormat="1" applyFont="1" applyBorder="1" applyAlignment="1">
      <alignment horizontal="right"/>
    </xf>
    <xf numFmtId="165" fontId="14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right" vertical="center"/>
    </xf>
    <xf numFmtId="0" fontId="14" fillId="0" borderId="4" xfId="0" applyFont="1" applyBorder="1" applyAlignment="1">
      <alignment horizontal="left" indent="1"/>
    </xf>
    <xf numFmtId="167" fontId="24" fillId="0" borderId="4" xfId="0" applyNumberFormat="1" applyFont="1" applyBorder="1" applyAlignment="1">
      <alignment horizontal="right"/>
    </xf>
    <xf numFmtId="167" fontId="35" fillId="0" borderId="0" xfId="0" applyNumberFormat="1" applyFont="1" applyAlignment="1">
      <alignment horizontal="right"/>
    </xf>
    <xf numFmtId="0" fontId="17" fillId="0" borderId="5" xfId="0" applyFont="1" applyBorder="1"/>
    <xf numFmtId="167" fontId="35" fillId="0" borderId="5" xfId="0" applyNumberFormat="1" applyFont="1" applyBorder="1" applyAlignment="1">
      <alignment horizontal="right"/>
    </xf>
    <xf numFmtId="167" fontId="35" fillId="0" borderId="1" xfId="0" applyNumberFormat="1" applyFont="1" applyBorder="1" applyAlignment="1">
      <alignment horizontal="right"/>
    </xf>
    <xf numFmtId="0" fontId="14" fillId="0" borderId="0" xfId="0" applyFont="1" applyAlignment="1">
      <alignment horizontal="left" vertical="center" indent="1"/>
    </xf>
    <xf numFmtId="167" fontId="23" fillId="0" borderId="0" xfId="0" applyNumberFormat="1" applyFont="1" applyAlignment="1">
      <alignment horizontal="right" vertical="center"/>
    </xf>
    <xf numFmtId="167" fontId="35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20" fillId="0" borderId="1" xfId="0" applyNumberFormat="1" applyFont="1" applyBorder="1" applyAlignment="1">
      <alignment horizontal="right" vertical="center"/>
    </xf>
    <xf numFmtId="0" fontId="17" fillId="0" borderId="2" xfId="0" applyFont="1" applyBorder="1" applyAlignment="1">
      <alignment vertical="center"/>
    </xf>
    <xf numFmtId="167" fontId="22" fillId="0" borderId="2" xfId="0" applyNumberFormat="1" applyFont="1" applyBorder="1" applyAlignment="1">
      <alignment horizontal="right" vertical="center"/>
    </xf>
    <xf numFmtId="165" fontId="35" fillId="0" borderId="0" xfId="0" applyNumberFormat="1" applyFont="1" applyAlignment="1">
      <alignment horizontal="right" vertical="center"/>
    </xf>
    <xf numFmtId="164" fontId="22" fillId="0" borderId="1" xfId="0" applyNumberFormat="1" applyFont="1" applyBorder="1" applyAlignment="1">
      <alignment horizontal="right" vertical="center"/>
    </xf>
    <xf numFmtId="0" fontId="36" fillId="0" borderId="0" xfId="0" applyFont="1" applyAlignment="1">
      <alignment horizontal="left" vertical="center" indent="1"/>
    </xf>
    <xf numFmtId="167" fontId="22" fillId="0" borderId="1" xfId="0" applyNumberFormat="1" applyFont="1" applyBorder="1" applyAlignment="1">
      <alignment horizontal="right" vertical="center"/>
    </xf>
    <xf numFmtId="0" fontId="17" fillId="0" borderId="5" xfId="0" applyFont="1" applyBorder="1" applyAlignment="1">
      <alignment vertical="center"/>
    </xf>
    <xf numFmtId="167" fontId="22" fillId="0" borderId="5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 indent="1"/>
    </xf>
    <xf numFmtId="166" fontId="22" fillId="0" borderId="5" xfId="0" applyNumberFormat="1" applyFont="1" applyBorder="1" applyAlignment="1">
      <alignment horizontal="right" vertical="center"/>
    </xf>
    <xf numFmtId="167" fontId="26" fillId="0" borderId="1" xfId="0" applyNumberFormat="1" applyFont="1" applyBorder="1" applyAlignment="1">
      <alignment horizontal="right" vertical="center"/>
    </xf>
    <xf numFmtId="0" fontId="25" fillId="8" borderId="0" xfId="0" applyFont="1" applyFill="1" applyAlignment="1">
      <alignment vertical="center"/>
    </xf>
    <xf numFmtId="0" fontId="31" fillId="8" borderId="0" xfId="0" applyFont="1" applyFill="1" applyAlignment="1">
      <alignment vertical="center"/>
    </xf>
    <xf numFmtId="0" fontId="31" fillId="8" borderId="0" xfId="0" applyFont="1" applyFill="1" applyAlignment="1">
      <alignment horizontal="right" vertical="center"/>
    </xf>
    <xf numFmtId="0" fontId="15" fillId="8" borderId="0" xfId="0" applyFont="1" applyFill="1" applyAlignment="1">
      <alignment vertical="center"/>
    </xf>
    <xf numFmtId="0" fontId="20" fillId="8" borderId="0" xfId="0" applyFont="1" applyFill="1" applyAlignment="1">
      <alignment vertical="center"/>
    </xf>
    <xf numFmtId="0" fontId="20" fillId="8" borderId="0" xfId="0" applyFont="1" applyFill="1" applyAlignment="1">
      <alignment horizontal="right" vertical="center"/>
    </xf>
    <xf numFmtId="0" fontId="20" fillId="8" borderId="0" xfId="0" applyFont="1" applyFill="1" applyAlignment="1">
      <alignment horizontal="center" vertical="center"/>
    </xf>
    <xf numFmtId="0" fontId="21" fillId="8" borderId="0" xfId="0" applyFont="1" applyFill="1"/>
    <xf numFmtId="0" fontId="21" fillId="8" borderId="1" xfId="0" applyFont="1" applyFill="1" applyBorder="1"/>
    <xf numFmtId="0" fontId="21" fillId="8" borderId="0" xfId="0" applyFont="1" applyFill="1" applyAlignment="1">
      <alignment vertical="center"/>
    </xf>
    <xf numFmtId="164" fontId="20" fillId="8" borderId="0" xfId="0" applyNumberFormat="1" applyFont="1" applyFill="1" applyAlignment="1">
      <alignment horizontal="right" vertical="center"/>
    </xf>
    <xf numFmtId="0" fontId="14" fillId="8" borderId="0" xfId="0" applyFont="1" applyFill="1"/>
    <xf numFmtId="0" fontId="14" fillId="8" borderId="1" xfId="0" applyFont="1" applyFill="1" applyBorder="1"/>
    <xf numFmtId="0" fontId="26" fillId="8" borderId="0" xfId="0" applyFont="1" applyFill="1"/>
    <xf numFmtId="0" fontId="20" fillId="0" borderId="0" xfId="0" applyFont="1" applyFill="1" applyAlignment="1">
      <alignment horizontal="center" vertical="center"/>
    </xf>
    <xf numFmtId="9" fontId="14" fillId="0" borderId="0" xfId="0" applyNumberFormat="1" applyFont="1"/>
    <xf numFmtId="0" fontId="20" fillId="8" borderId="0" xfId="0" applyFont="1" applyFill="1" applyAlignment="1">
      <alignment horizontal="left" vertical="center"/>
    </xf>
    <xf numFmtId="0" fontId="37" fillId="8" borderId="0" xfId="0" applyFont="1" applyFill="1" applyAlignment="1">
      <alignment horizontal="fill" vertical="center"/>
    </xf>
    <xf numFmtId="0" fontId="14" fillId="0" borderId="0" xfId="0" applyFont="1" applyFill="1"/>
    <xf numFmtId="0" fontId="38" fillId="8" borderId="0" xfId="0" applyFont="1" applyFill="1" applyAlignment="1">
      <alignment horizontal="fill"/>
    </xf>
    <xf numFmtId="0" fontId="14" fillId="0" borderId="0" xfId="0" applyFont="1" applyFill="1" applyAlignment="1">
      <alignment horizontal="fill"/>
    </xf>
    <xf numFmtId="0" fontId="14" fillId="0" borderId="0" xfId="0" applyFont="1" applyAlignment="1">
      <alignment horizontal="centerContinuous"/>
    </xf>
    <xf numFmtId="0" fontId="38" fillId="9" borderId="0" xfId="0" applyFont="1" applyFill="1" applyAlignment="1">
      <alignment horizontal="left"/>
    </xf>
    <xf numFmtId="0" fontId="16" fillId="9" borderId="0" xfId="0" applyFont="1" applyFill="1" applyAlignment="1">
      <alignment horizontal="left" vertical="center"/>
    </xf>
    <xf numFmtId="1" fontId="23" fillId="0" borderId="0" xfId="0" applyNumberFormat="1" applyFont="1" applyAlignment="1">
      <alignment horizontal="right" vertical="center"/>
    </xf>
    <xf numFmtId="0" fontId="16" fillId="8" borderId="0" xfId="0" applyFont="1" applyFill="1"/>
    <xf numFmtId="0" fontId="14" fillId="9" borderId="0" xfId="0" applyFont="1" applyFill="1"/>
    <xf numFmtId="0" fontId="16" fillId="0" borderId="0" xfId="0" applyFont="1" applyFill="1"/>
    <xf numFmtId="1" fontId="14" fillId="0" borderId="0" xfId="0" applyNumberFormat="1" applyFont="1"/>
    <xf numFmtId="1" fontId="17" fillId="0" borderId="6" xfId="0" applyNumberFormat="1" applyFont="1" applyBorder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right" wrapText="1"/>
    </xf>
    <xf numFmtId="0" fontId="39" fillId="0" borderId="0" xfId="0" applyFont="1"/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wrapText="1"/>
    </xf>
    <xf numFmtId="0" fontId="13" fillId="0" borderId="1" xfId="0" applyFont="1" applyBorder="1" applyAlignment="1">
      <alignment wrapText="1"/>
    </xf>
    <xf numFmtId="0" fontId="1" fillId="2" borderId="0" xfId="0" applyFont="1" applyFill="1"/>
    <xf numFmtId="0" fontId="5" fillId="0" borderId="0" xfId="0" applyFont="1" applyAlignment="1">
      <alignment wrapText="1"/>
    </xf>
    <xf numFmtId="0" fontId="1" fillId="6" borderId="0" xfId="0" applyFont="1" applyFill="1"/>
    <xf numFmtId="164" fontId="5" fillId="0" borderId="0" xfId="0" applyNumberFormat="1" applyFont="1" applyAlignment="1">
      <alignment horizontal="right" wrapText="1"/>
    </xf>
    <xf numFmtId="0" fontId="9" fillId="0" borderId="2" xfId="0" applyFont="1" applyBorder="1" applyAlignment="1">
      <alignment wrapText="1"/>
    </xf>
    <xf numFmtId="164" fontId="9" fillId="0" borderId="2" xfId="0" applyNumberFormat="1" applyFont="1" applyBorder="1" applyAlignment="1">
      <alignment horizontal="right" wrapText="1"/>
    </xf>
    <xf numFmtId="0" fontId="21" fillId="8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MCF_new">
      <a:dk1>
        <a:srgbClr val="000000"/>
      </a:dk1>
      <a:lt1>
        <a:srgbClr val="FFFFFF"/>
      </a:lt1>
      <a:dk2>
        <a:srgbClr val="808080"/>
      </a:dk2>
      <a:lt2>
        <a:srgbClr val="D1E4FD"/>
      </a:lt2>
      <a:accent1>
        <a:srgbClr val="003D7C"/>
      </a:accent1>
      <a:accent2>
        <a:srgbClr val="3157E3"/>
      </a:accent2>
      <a:accent3>
        <a:srgbClr val="718BEB"/>
      </a:accent3>
      <a:accent4>
        <a:srgbClr val="67A6F9"/>
      </a:accent4>
      <a:accent5>
        <a:srgbClr val="A5CAFB"/>
      </a:accent5>
      <a:accent6>
        <a:srgbClr val="FF9900"/>
      </a:accent6>
      <a:hlink>
        <a:srgbClr val="FF9900"/>
      </a:hlink>
      <a:folHlink>
        <a:srgbClr val="67A6F9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9542-685B-426E-86D6-F5FFE9D61F47}">
  <sheetPr>
    <pageSetUpPr autoPageBreaks="0"/>
  </sheetPr>
  <dimension ref="A1"/>
  <sheetViews>
    <sheetView showGridLines="0" tabSelected="1" workbookViewId="0"/>
  </sheetViews>
  <sheetFormatPr defaultColWidth="9" defaultRowHeight="13.8"/>
  <cols>
    <col min="1" max="16384" width="9" style="22"/>
  </cols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11DE-D748-48B9-9248-5FB12290A170}">
  <sheetPr>
    <tabColor theme="3"/>
  </sheetPr>
  <dimension ref="A1"/>
  <sheetViews>
    <sheetView showGridLines="0" workbookViewId="0"/>
  </sheetViews>
  <sheetFormatPr defaultColWidth="9" defaultRowHeight="13.8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47"/>
  <sheetViews>
    <sheetView showGridLines="0" topLeftCell="A25" zoomScale="85" zoomScaleNormal="85" workbookViewId="0"/>
  </sheetViews>
  <sheetFormatPr defaultColWidth="9" defaultRowHeight="13.8" outlineLevelRow="1"/>
  <cols>
    <col min="1" max="1" width="9" style="62"/>
    <col min="2" max="2" width="36" style="62" customWidth="1"/>
    <col min="3" max="8" width="13" style="62" customWidth="1"/>
    <col min="9" max="16384" width="9" style="62"/>
  </cols>
  <sheetData>
    <row r="2" spans="2:8" ht="21">
      <c r="B2" s="119" t="s">
        <v>220</v>
      </c>
      <c r="C2" s="119"/>
      <c r="D2" s="119"/>
      <c r="E2" s="119"/>
      <c r="F2" s="119"/>
      <c r="G2" s="119"/>
      <c r="H2" s="119"/>
    </row>
    <row r="3" spans="2:8">
      <c r="B3" s="63" t="s">
        <v>151</v>
      </c>
      <c r="C3" s="64">
        <v>2020</v>
      </c>
      <c r="D3" s="64">
        <v>2021</v>
      </c>
      <c r="E3" s="64">
        <v>2022</v>
      </c>
      <c r="F3" s="64">
        <v>2023</v>
      </c>
      <c r="G3" s="64">
        <v>2024</v>
      </c>
      <c r="H3" s="64">
        <v>2025</v>
      </c>
    </row>
    <row r="4" spans="2:8" ht="4.95" customHeight="1">
      <c r="B4" s="65"/>
      <c r="C4" s="66"/>
      <c r="D4" s="66"/>
      <c r="E4" s="66"/>
      <c r="F4" s="66"/>
      <c r="G4" s="66"/>
      <c r="H4" s="66"/>
    </row>
    <row r="5" spans="2:8">
      <c r="B5" s="67" t="s">
        <v>152</v>
      </c>
      <c r="C5" s="68">
        <f>'EVM KPIs'!C5</f>
        <v>699.60987007999995</v>
      </c>
      <c r="D5" s="68">
        <f>'EVM KPIs'!D5</f>
        <v>845.45662937999998</v>
      </c>
      <c r="E5" s="68">
        <f>'EVM KPIs'!E5</f>
        <v>1174.1012280100001</v>
      </c>
      <c r="F5" s="68">
        <f>'EVM KPIs'!F5</f>
        <v>1362.5214494700001</v>
      </c>
      <c r="G5" s="68">
        <f>'EVM KPIs'!G5</f>
        <v>1002.15801035</v>
      </c>
      <c r="H5" s="68">
        <f>'EVM KPIs'!H5</f>
        <v>999.23490328000003</v>
      </c>
    </row>
    <row r="6" spans="2:8">
      <c r="B6" s="69" t="s">
        <v>154</v>
      </c>
      <c r="C6" s="70">
        <f>'EVM KPIs'!C7</f>
        <v>139.59621319999997</v>
      </c>
      <c r="D6" s="70">
        <f>'EVM KPIs'!D7</f>
        <v>135.22188214000005</v>
      </c>
      <c r="E6" s="70">
        <f>'EVM KPIs'!E7</f>
        <v>179.07641951000005</v>
      </c>
      <c r="F6" s="70">
        <f>'EVM KPIs'!F7</f>
        <v>143.6018129900001</v>
      </c>
      <c r="G6" s="70">
        <f>'EVM KPIs'!G7</f>
        <v>185.02262824000002</v>
      </c>
      <c r="H6" s="70">
        <f>'EVM KPIs'!H7</f>
        <v>179.46957452000004</v>
      </c>
    </row>
    <row r="7" spans="2:8">
      <c r="B7" s="69" t="s">
        <v>155</v>
      </c>
      <c r="C7" s="71">
        <f>'EVM KPIs'!C9</f>
        <v>0.19918421633330596</v>
      </c>
      <c r="D7" s="71">
        <f>'EVM KPIs'!D9</f>
        <v>0.16008131850820848</v>
      </c>
      <c r="E7" s="71">
        <f>'EVM KPIs'!E9</f>
        <v>0.15250945045126987</v>
      </c>
      <c r="F7" s="71">
        <f>'EVM KPIs'!F9</f>
        <v>0.10539829270425674</v>
      </c>
      <c r="G7" s="71">
        <f>'EVM KPIs'!G9</f>
        <v>0.18453934345708101</v>
      </c>
      <c r="H7" s="71">
        <f>'EVM KPIs'!H9</f>
        <v>0.17963681430673983</v>
      </c>
    </row>
    <row r="8" spans="2:8">
      <c r="B8" s="67" t="s">
        <v>156</v>
      </c>
      <c r="C8" s="68">
        <f>'EVM KPIs'!C10</f>
        <v>86.713073289999897</v>
      </c>
      <c r="D8" s="68">
        <f>'EVM KPIs'!D10</f>
        <v>79.702944930000029</v>
      </c>
      <c r="E8" s="68">
        <f>'EVM KPIs'!E10</f>
        <v>98.454373289999964</v>
      </c>
      <c r="F8" s="68">
        <f>'EVM KPIs'!F10</f>
        <v>71.546575500000046</v>
      </c>
      <c r="G8" s="68">
        <f>'EVM KPIs'!G10</f>
        <v>90.376030529999994</v>
      </c>
      <c r="H8" s="68">
        <f>'EVM KPIs'!H10</f>
        <v>91.324092090000065</v>
      </c>
    </row>
    <row r="9" spans="2:8">
      <c r="B9" s="69" t="s">
        <v>163</v>
      </c>
      <c r="C9" s="70">
        <f>'EVM KPIs'!C24</f>
        <v>173.81036211999998</v>
      </c>
      <c r="D9" s="70">
        <f>'EVM KPIs'!D24</f>
        <v>249.15106299999997</v>
      </c>
      <c r="E9" s="70">
        <f>'EVM KPIs'!E24</f>
        <v>169.00466402999996</v>
      </c>
      <c r="F9" s="70">
        <f>'EVM KPIs'!F24</f>
        <v>196.43200583000001</v>
      </c>
      <c r="G9" s="70">
        <f>'EVM KPIs'!G24</f>
        <v>203.43755312999997</v>
      </c>
      <c r="H9" s="70">
        <f>'EVM KPIs'!H24</f>
        <v>237.23101693000001</v>
      </c>
    </row>
    <row r="10" spans="2:8">
      <c r="B10" s="69" t="s">
        <v>164</v>
      </c>
      <c r="C10" s="72">
        <f>'EVM KPIs'!C26</f>
        <v>2.0044308836652025</v>
      </c>
      <c r="D10" s="72">
        <f>'EVM KPIs'!D26</f>
        <v>3.125995698387551</v>
      </c>
      <c r="E10" s="72">
        <f>'EVM KPIs'!E26</f>
        <v>1.716578536660756</v>
      </c>
      <c r="F10" s="72">
        <f>'EVM KPIs'!F26</f>
        <v>2.7455123387421931</v>
      </c>
      <c r="G10" s="72">
        <f>'EVM KPIs'!G26</f>
        <v>2.2510122643909396</v>
      </c>
      <c r="H10" s="72">
        <f>'EVM KPIs'!H26</f>
        <v>2.5976827308199066</v>
      </c>
    </row>
    <row r="11" spans="2:8">
      <c r="B11" s="67" t="s">
        <v>165</v>
      </c>
      <c r="C11" s="68">
        <f>'EVM KPIs'!C27</f>
        <v>29.943999999999999</v>
      </c>
      <c r="D11" s="68">
        <f>'EVM KPIs'!D27</f>
        <v>29.103999999999999</v>
      </c>
      <c r="E11" s="68">
        <f>'EVM KPIs'!E27</f>
        <v>22.864999999999998</v>
      </c>
      <c r="F11" s="68">
        <f>'EVM KPIs'!F27</f>
        <v>27.728000000000002</v>
      </c>
      <c r="G11" s="68">
        <f>'EVM KPIs'!G27</f>
        <v>24.02</v>
      </c>
      <c r="H11" s="68">
        <f>'EVM KPIs'!H27</f>
        <v>43.148000000000003</v>
      </c>
    </row>
    <row r="12" spans="2:8">
      <c r="B12" s="69" t="s">
        <v>158</v>
      </c>
      <c r="C12" s="70">
        <f>'EVM KPIs'!C13</f>
        <v>64.501999999999995</v>
      </c>
      <c r="D12" s="70">
        <f>'EVM KPIs'!D13</f>
        <v>19.969000000000001</v>
      </c>
      <c r="E12" s="70">
        <f>'EVM KPIs'!E13</f>
        <v>200.708</v>
      </c>
      <c r="F12" s="70">
        <f>'EVM KPIs'!F13</f>
        <v>-18.565999999999999</v>
      </c>
      <c r="G12" s="70">
        <f>'EVM KPIs'!G13</f>
        <v>60.789000000000001</v>
      </c>
      <c r="H12" s="70">
        <f>'EVM KPIs'!H13</f>
        <v>48.857999999999997</v>
      </c>
    </row>
    <row r="13" spans="2:8">
      <c r="B13" s="69" t="s">
        <v>159</v>
      </c>
      <c r="C13" s="70">
        <f>'EVM KPIs'!C14</f>
        <v>-6.681</v>
      </c>
      <c r="D13" s="70">
        <f>'EVM KPIs'!D14</f>
        <v>-25.314</v>
      </c>
      <c r="E13" s="70">
        <f>'EVM KPIs'!E14</f>
        <v>-14.952999999999999</v>
      </c>
      <c r="F13" s="70">
        <f>'EVM KPIs'!F14</f>
        <v>-5.5019999999999998</v>
      </c>
      <c r="G13" s="70">
        <f>'EVM KPIs'!G14</f>
        <v>-5.8780000000000001</v>
      </c>
      <c r="H13" s="70">
        <f>'EVM KPIs'!H14</f>
        <v>-41.741</v>
      </c>
    </row>
    <row r="14" spans="2:8">
      <c r="B14" s="69" t="s">
        <v>160</v>
      </c>
      <c r="C14" s="70">
        <f>'EVM Cashflow'!C7</f>
        <v>-47.081000000000003</v>
      </c>
      <c r="D14" s="70">
        <f>'EVM Cashflow'!D7</f>
        <v>-47.209000000000003</v>
      </c>
      <c r="E14" s="70">
        <f>'EVM Cashflow'!E7</f>
        <v>-27.507000000000001</v>
      </c>
      <c r="F14" s="70">
        <f>'EVM Cashflow'!F7</f>
        <v>-37.798999999999999</v>
      </c>
      <c r="G14" s="70">
        <f>'EVM Cashflow'!G7</f>
        <v>-49.018000000000001</v>
      </c>
      <c r="H14" s="70">
        <f>'EVM Cashflow'!H7</f>
        <v>-48.174999999999997</v>
      </c>
    </row>
    <row r="15" spans="2:8">
      <c r="B15" s="69" t="s">
        <v>206</v>
      </c>
      <c r="C15" s="118">
        <f>SUM(C12:C14)</f>
        <v>10.739999999999995</v>
      </c>
      <c r="D15" s="118">
        <f t="shared" ref="D15:G15" si="0">SUM(D12:D14)</f>
        <v>-52.554000000000002</v>
      </c>
      <c r="E15" s="118">
        <f t="shared" si="0"/>
        <v>158.24799999999999</v>
      </c>
      <c r="F15" s="118">
        <f t="shared" si="0"/>
        <v>-61.866999999999997</v>
      </c>
      <c r="G15" s="118">
        <f t="shared" si="0"/>
        <v>5.8930000000000007</v>
      </c>
      <c r="H15" s="118">
        <f t="shared" ref="H15" si="1">SUM(H12:H14)</f>
        <v>-41.058</v>
      </c>
    </row>
    <row r="16" spans="2:8">
      <c r="B16" s="69"/>
      <c r="C16" s="70"/>
      <c r="D16" s="70"/>
      <c r="E16" s="70"/>
      <c r="F16" s="70"/>
      <c r="G16" s="70"/>
      <c r="H16" s="70"/>
    </row>
    <row r="17" spans="2:8">
      <c r="B17" s="73" t="s">
        <v>205</v>
      </c>
      <c r="C17" s="74">
        <f>'EVM KPIs'!C16</f>
        <v>57.820999999999998</v>
      </c>
      <c r="D17" s="74">
        <f>'EVM KPIs'!D16</f>
        <v>-5.3449999999999989</v>
      </c>
      <c r="E17" s="74">
        <f>'EVM KPIs'!E16</f>
        <v>185.755</v>
      </c>
      <c r="F17" s="74">
        <f>'EVM KPIs'!F16</f>
        <v>-24.067999999999998</v>
      </c>
      <c r="G17" s="74">
        <f>'EVM KPIs'!G16</f>
        <v>54.911000000000001</v>
      </c>
      <c r="H17" s="74">
        <f>'EVM KPIs'!H16</f>
        <v>7.1169999999999973</v>
      </c>
    </row>
    <row r="18" spans="2:8">
      <c r="B18" s="69"/>
      <c r="C18" s="70"/>
      <c r="D18" s="70"/>
      <c r="E18" s="70"/>
      <c r="F18" s="70"/>
      <c r="G18" s="70"/>
      <c r="H18" s="70"/>
    </row>
    <row r="19" spans="2:8">
      <c r="B19" s="75" t="s">
        <v>161</v>
      </c>
      <c r="C19" s="76">
        <f>'EVM KPIs'!C19</f>
        <v>25.827597879999999</v>
      </c>
      <c r="D19" s="76">
        <f>'EVM KPIs'!D19</f>
        <v>1.29242002</v>
      </c>
      <c r="E19" s="76">
        <f>'EVM KPIs'!E19</f>
        <v>131.52221933999999</v>
      </c>
      <c r="F19" s="76">
        <f>'EVM KPIs'!F19</f>
        <v>69.654726490000002</v>
      </c>
      <c r="G19" s="76">
        <f>'EVM KPIs'!G19</f>
        <v>75.547680720000002</v>
      </c>
      <c r="H19" s="76">
        <f>'EVM KPIs'!H19</f>
        <v>34.48931889</v>
      </c>
    </row>
    <row r="20" spans="2:8">
      <c r="B20" s="69" t="s">
        <v>162</v>
      </c>
      <c r="C20" s="71">
        <f>'EVM KPIs'!C18</f>
        <v>0.42103780802332724</v>
      </c>
      <c r="D20" s="71">
        <f>'EVM KPIs'!D18</f>
        <v>0.37335501017770401</v>
      </c>
      <c r="E20" s="71">
        <f>'EVM KPIs'!E18</f>
        <v>0.35337425325886718</v>
      </c>
      <c r="F20" s="71">
        <f>'EVM KPIs'!F18</f>
        <v>0.36848118034728355</v>
      </c>
      <c r="G20" s="71">
        <f>'EVM KPIs'!G18</f>
        <v>0.37457217054388231</v>
      </c>
      <c r="H20" s="71">
        <f>'EVM KPIs'!H18</f>
        <v>0.39108362099358512</v>
      </c>
    </row>
    <row r="21" spans="2:8">
      <c r="B21" s="65"/>
      <c r="C21" s="66"/>
      <c r="D21" s="66"/>
      <c r="E21" s="66"/>
      <c r="F21" s="66"/>
      <c r="G21" s="66"/>
    </row>
    <row r="22" spans="2:8">
      <c r="B22" s="65"/>
      <c r="C22" s="66"/>
      <c r="D22" s="66"/>
      <c r="E22" s="66"/>
      <c r="F22" s="66"/>
      <c r="G22" s="66"/>
    </row>
    <row r="23" spans="2:8">
      <c r="B23" s="120" t="s">
        <v>183</v>
      </c>
      <c r="C23" s="121"/>
      <c r="D23" s="121"/>
      <c r="E23" s="121"/>
      <c r="F23" s="121"/>
      <c r="G23" s="121"/>
      <c r="H23" s="132"/>
    </row>
    <row r="24" spans="2:8" ht="4.95" customHeight="1">
      <c r="B24" s="77"/>
      <c r="C24" s="78"/>
      <c r="D24" s="78"/>
      <c r="E24" s="78"/>
      <c r="F24" s="78"/>
      <c r="G24" s="78"/>
    </row>
    <row r="25" spans="2:8">
      <c r="B25" s="65" t="s">
        <v>171</v>
      </c>
      <c r="C25" s="79">
        <f>'EVM Capex Revenue'!C14</f>
        <v>239.596</v>
      </c>
      <c r="D25" s="79">
        <f>'EVM Capex Revenue'!D14</f>
        <v>339.065</v>
      </c>
      <c r="E25" s="79">
        <f>'EVM Capex Revenue'!E14</f>
        <v>521.16800000000001</v>
      </c>
      <c r="F25" s="79">
        <f>'EVM Capex Revenue'!F14</f>
        <v>584.98</v>
      </c>
      <c r="G25" s="79">
        <f>'EVM Capex Revenue'!G14</f>
        <v>406.21600000000001</v>
      </c>
      <c r="H25" s="79">
        <f>'EVM Capex Revenue'!H14</f>
        <v>410.83300000000003</v>
      </c>
    </row>
    <row r="26" spans="2:8">
      <c r="B26" s="65" t="s">
        <v>172</v>
      </c>
      <c r="C26" s="79">
        <f>'EVM Capex Revenue'!C15</f>
        <v>361.50099999999998</v>
      </c>
      <c r="D26" s="79">
        <f>'EVM Capex Revenue'!D15</f>
        <v>411.89600000000002</v>
      </c>
      <c r="E26" s="79">
        <f>'EVM Capex Revenue'!E15</f>
        <v>543.90499999999997</v>
      </c>
      <c r="F26" s="79">
        <f>'EVM Capex Revenue'!F15</f>
        <v>670.13699999999994</v>
      </c>
      <c r="G26" s="79">
        <f>'EVM Capex Revenue'!G15</f>
        <v>489.07900000000001</v>
      </c>
      <c r="H26" s="79">
        <f>'EVM Capex Revenue'!H15</f>
        <v>479.68900000000002</v>
      </c>
    </row>
    <row r="27" spans="2:8">
      <c r="B27" s="65" t="s">
        <v>173</v>
      </c>
      <c r="C27" s="79">
        <f>'EVM Capex Revenue'!C16</f>
        <v>45.664000000000001</v>
      </c>
      <c r="D27" s="79">
        <f>'EVM Capex Revenue'!D16</f>
        <v>35.188000000000002</v>
      </c>
      <c r="E27" s="79">
        <f>'EVM Capex Revenue'!E16</f>
        <v>36.094000000000001</v>
      </c>
      <c r="F27" s="79">
        <f>'EVM Capex Revenue'!F16</f>
        <v>34.804000000000002</v>
      </c>
      <c r="G27" s="79">
        <f>'EVM Capex Revenue'!G16</f>
        <v>35.548000000000002</v>
      </c>
      <c r="H27" s="79">
        <f>'EVM Capex Revenue'!H16</f>
        <v>37.341000000000001</v>
      </c>
    </row>
    <row r="28" spans="2:8">
      <c r="B28" s="65" t="s">
        <v>174</v>
      </c>
      <c r="C28" s="79">
        <f>'EVM Capex Revenue'!C17</f>
        <v>23.324999999999999</v>
      </c>
      <c r="D28" s="79">
        <f>'EVM Capex Revenue'!D17</f>
        <v>23.17</v>
      </c>
      <c r="E28" s="79">
        <f>'EVM Capex Revenue'!E17</f>
        <v>23.123999999999999</v>
      </c>
      <c r="F28" s="79">
        <f>'EVM Capex Revenue'!F17</f>
        <v>24.798999999999999</v>
      </c>
      <c r="G28" s="79">
        <f>'EVM Capex Revenue'!G17</f>
        <v>28.192</v>
      </c>
      <c r="H28" s="79">
        <f>'EVM Capex Revenue'!H17</f>
        <v>28.925999999999998</v>
      </c>
    </row>
    <row r="29" spans="2:8">
      <c r="B29" s="65" t="s">
        <v>175</v>
      </c>
      <c r="C29" s="79">
        <f>'EVM Capex Revenue'!C18</f>
        <v>29.524000000000001</v>
      </c>
      <c r="D29" s="79">
        <f>'EVM Capex Revenue'!D18</f>
        <v>36.137999999999998</v>
      </c>
      <c r="E29" s="79">
        <f>'EVM Capex Revenue'!E18</f>
        <v>49.81</v>
      </c>
      <c r="F29" s="79">
        <f>'EVM Capex Revenue'!F18</f>
        <v>47.801000000000002</v>
      </c>
      <c r="G29" s="79">
        <f>'EVM Capex Revenue'!G18</f>
        <v>43.122999999999998</v>
      </c>
      <c r="H29" s="79">
        <f>'EVM Capex Revenue'!H18</f>
        <v>42.445999999999998</v>
      </c>
    </row>
    <row r="30" spans="2:8">
      <c r="B30" s="65"/>
      <c r="C30" s="66"/>
      <c r="D30" s="66"/>
      <c r="E30" s="66"/>
      <c r="F30" s="66"/>
      <c r="G30" s="66"/>
    </row>
    <row r="31" spans="2:8">
      <c r="B31" s="65"/>
      <c r="C31" s="66"/>
      <c r="D31" s="66"/>
      <c r="E31" s="66"/>
      <c r="F31" s="66"/>
      <c r="G31" s="66"/>
    </row>
    <row r="32" spans="2:8" outlineLevel="1">
      <c r="B32" s="120" t="s">
        <v>184</v>
      </c>
      <c r="C32" s="121"/>
      <c r="D32" s="121"/>
      <c r="E32" s="121"/>
      <c r="F32" s="121"/>
      <c r="G32" s="121"/>
      <c r="H32" s="132"/>
    </row>
    <row r="33" spans="2:8" outlineLevel="1">
      <c r="B33" s="63" t="s">
        <v>179</v>
      </c>
      <c r="C33" s="64">
        <v>2020</v>
      </c>
      <c r="D33" s="64">
        <v>2021</v>
      </c>
      <c r="E33" s="64">
        <v>2022</v>
      </c>
      <c r="F33" s="64">
        <v>2023</v>
      </c>
      <c r="G33" s="64">
        <v>2024</v>
      </c>
      <c r="H33" s="64">
        <v>2025</v>
      </c>
    </row>
    <row r="34" spans="2:8" ht="4.95" customHeight="1" outlineLevel="1">
      <c r="B34" s="80"/>
      <c r="C34" s="81"/>
      <c r="D34" s="81"/>
      <c r="E34" s="81"/>
      <c r="F34" s="81"/>
      <c r="G34" s="81"/>
      <c r="H34" s="81"/>
    </row>
    <row r="35" spans="2:8" outlineLevel="1">
      <c r="B35" s="65" t="s">
        <v>152</v>
      </c>
      <c r="C35" s="79">
        <f>'ENM KPIs'!B4</f>
        <v>311.44738806999999</v>
      </c>
      <c r="D35" s="79">
        <f>'ENM KPIs'!C4</f>
        <v>313.00272837</v>
      </c>
      <c r="E35" s="79">
        <f>'ENM KPIs'!D4</f>
        <v>340.52224151000001</v>
      </c>
      <c r="F35" s="79">
        <f>'ENM KPIs'!E4</f>
        <v>407.47915949999998</v>
      </c>
      <c r="G35" s="79">
        <f>'ENM KPIs'!F4</f>
        <v>379.54604484999999</v>
      </c>
      <c r="H35" s="79">
        <f>'ENM KPIs'!G4</f>
        <v>0</v>
      </c>
    </row>
    <row r="36" spans="2:8" outlineLevel="1">
      <c r="B36" s="65" t="s">
        <v>156</v>
      </c>
      <c r="C36" s="79">
        <f>'ENM KPIs'!B8</f>
        <v>-4.4076399099999817</v>
      </c>
      <c r="D36" s="79">
        <f>'ENM KPIs'!C8</f>
        <v>9.3809481499999858</v>
      </c>
      <c r="E36" s="79">
        <f>'ENM KPIs'!D8</f>
        <v>-2.3540332799999888</v>
      </c>
      <c r="F36" s="79">
        <f>'ENM KPIs'!E8</f>
        <v>16.570261009999964</v>
      </c>
      <c r="G36" s="79">
        <f>'ENM KPIs'!F8</f>
        <v>18.71931535000007</v>
      </c>
      <c r="H36" s="79">
        <f>'ENM KPIs'!G8</f>
        <v>0</v>
      </c>
    </row>
    <row r="37" spans="2:8" outlineLevel="1">
      <c r="B37" s="65" t="s">
        <v>165</v>
      </c>
      <c r="C37" s="79">
        <f>'ENM KPIs'!B14</f>
        <v>1.379</v>
      </c>
      <c r="D37" s="79">
        <f>'ENM KPIs'!C14</f>
        <v>13.01</v>
      </c>
      <c r="E37" s="79">
        <f>'ENM KPIs'!D14</f>
        <v>13.193</v>
      </c>
      <c r="F37" s="79">
        <f>'ENM KPIs'!E14</f>
        <v>16.373000000000001</v>
      </c>
      <c r="G37" s="79">
        <f>'ENM KPIs'!F14</f>
        <v>24.155999999999999</v>
      </c>
      <c r="H37" s="79">
        <f>'ENM KPIs'!G14</f>
        <v>0</v>
      </c>
    </row>
    <row r="38" spans="2:8" outlineLevel="1">
      <c r="B38" s="65" t="s">
        <v>158</v>
      </c>
      <c r="C38" s="79">
        <f>'ENM KPIs'!B10</f>
        <v>14.398</v>
      </c>
      <c r="D38" s="79">
        <f>'ENM KPIs'!C10</f>
        <v>0.13100000000000001</v>
      </c>
      <c r="E38" s="79">
        <f>'ENM KPIs'!D10</f>
        <v>-9.5399999999999991</v>
      </c>
      <c r="F38" s="79">
        <f>'ENM KPIs'!E10</f>
        <v>4.5439999999999996</v>
      </c>
      <c r="G38" s="79">
        <f>'ENM KPIs'!F10</f>
        <v>14.406000000000001</v>
      </c>
      <c r="H38" s="79">
        <f>'ENM KPIs'!G10</f>
        <v>0</v>
      </c>
    </row>
    <row r="39" spans="2:8" outlineLevel="1">
      <c r="B39" s="65" t="s">
        <v>160</v>
      </c>
      <c r="C39" s="79">
        <f>'ENM KPIs'!B12</f>
        <v>12.366999999999999</v>
      </c>
      <c r="D39" s="79">
        <f>'ENM KPIs'!C12</f>
        <v>-9.1720000000000006</v>
      </c>
      <c r="E39" s="79">
        <f>'ENM KPIs'!D12</f>
        <v>-18.546999999999997</v>
      </c>
      <c r="F39" s="79">
        <f>'ENM KPIs'!E12</f>
        <v>-6.4610000000000012</v>
      </c>
      <c r="G39" s="79">
        <f>'ENM KPIs'!F12</f>
        <v>-2.9550000000000001</v>
      </c>
      <c r="H39" s="79">
        <f>'ENM KPIs'!G12</f>
        <v>0</v>
      </c>
    </row>
    <row r="40" spans="2:8" outlineLevel="1">
      <c r="B40" s="65" t="s">
        <v>162</v>
      </c>
      <c r="C40" s="82">
        <f>'ENM KPIs'!B13</f>
        <v>0</v>
      </c>
      <c r="D40" s="82">
        <f>'ENM KPIs'!C13</f>
        <v>0.64076160178350228</v>
      </c>
      <c r="E40" s="82">
        <f>'ENM KPIs'!D13</f>
        <v>0.60320631461682728</v>
      </c>
      <c r="F40" s="82">
        <f>'ENM KPIs'!E13</f>
        <v>0.591692572979444</v>
      </c>
      <c r="G40" s="82">
        <f>'ENM KPIs'!F13</f>
        <v>0.54072929607076625</v>
      </c>
      <c r="H40" s="82">
        <f>'ENM KPIs'!G13</f>
        <v>0</v>
      </c>
    </row>
    <row r="41" spans="2:8">
      <c r="B41" s="65"/>
      <c r="C41" s="66"/>
      <c r="D41" s="66"/>
      <c r="E41" s="66"/>
      <c r="F41" s="66"/>
      <c r="G41" s="66"/>
    </row>
    <row r="42" spans="2:8">
      <c r="B42" s="65"/>
      <c r="C42" s="66"/>
      <c r="D42" s="66"/>
      <c r="E42" s="66"/>
      <c r="F42" s="66"/>
      <c r="G42" s="66"/>
    </row>
    <row r="43" spans="2:8">
      <c r="B43" s="152" t="s">
        <v>185</v>
      </c>
      <c r="C43" s="153"/>
      <c r="D43" s="153"/>
      <c r="E43" s="153"/>
      <c r="F43" s="153"/>
      <c r="G43" s="153"/>
    </row>
    <row r="44" spans="2:8">
      <c r="B44" s="152"/>
      <c r="C44" s="153"/>
      <c r="D44" s="153"/>
      <c r="E44" s="153"/>
      <c r="F44" s="153"/>
      <c r="G44" s="153"/>
    </row>
    <row r="45" spans="2:8">
      <c r="B45" s="65"/>
      <c r="C45" s="66"/>
      <c r="D45" s="66"/>
      <c r="E45" s="66"/>
      <c r="F45" s="66"/>
      <c r="G45" s="66"/>
    </row>
    <row r="46" spans="2:8">
      <c r="B46" s="152" t="s">
        <v>186</v>
      </c>
      <c r="C46" s="153"/>
      <c r="D46" s="153"/>
      <c r="E46" s="153"/>
      <c r="F46" s="153"/>
      <c r="G46" s="153"/>
    </row>
    <row r="47" spans="2:8">
      <c r="B47" s="152"/>
      <c r="C47" s="153"/>
      <c r="D47" s="153"/>
      <c r="E47" s="153"/>
      <c r="F47" s="153"/>
      <c r="G47" s="153"/>
    </row>
  </sheetData>
  <mergeCells count="2">
    <mergeCell ref="B43:G44"/>
    <mergeCell ref="B46:G4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A61D-D596-42DD-B6AE-38D64FB51CC5}">
  <dimension ref="B2:I50"/>
  <sheetViews>
    <sheetView showGridLines="0" workbookViewId="0"/>
  </sheetViews>
  <sheetFormatPr defaultColWidth="9" defaultRowHeight="13.8" outlineLevelRow="1"/>
  <cols>
    <col min="1" max="1" width="9" style="25"/>
    <col min="2" max="2" width="36" style="25" customWidth="1"/>
    <col min="3" max="7" width="13" style="25" customWidth="1"/>
    <col min="8" max="16384" width="9" style="25"/>
  </cols>
  <sheetData>
    <row r="2" spans="2:9" ht="20.399999999999999">
      <c r="B2" s="122" t="s">
        <v>221</v>
      </c>
      <c r="C2" s="122"/>
      <c r="D2" s="122"/>
      <c r="E2" s="122"/>
      <c r="F2" s="122"/>
      <c r="G2" s="122"/>
    </row>
    <row r="3" spans="2:9">
      <c r="B3" s="26" t="s">
        <v>151</v>
      </c>
      <c r="C3" s="27">
        <v>2021</v>
      </c>
      <c r="D3" s="27">
        <v>2022</v>
      </c>
      <c r="E3" s="27">
        <v>2023</v>
      </c>
      <c r="F3" s="27">
        <v>2024</v>
      </c>
      <c r="G3" s="27">
        <v>2025</v>
      </c>
    </row>
    <row r="4" spans="2:9">
      <c r="B4" s="28" t="s">
        <v>152</v>
      </c>
      <c r="C4" s="29">
        <f>'EVM KPIs'!D5</f>
        <v>845.45662937999998</v>
      </c>
      <c r="D4" s="29">
        <f>'EVM KPIs'!E5</f>
        <v>1174.1012280100001</v>
      </c>
      <c r="E4" s="29">
        <f>'EVM KPIs'!F5</f>
        <v>1362.5214494700001</v>
      </c>
      <c r="F4" s="29">
        <f>'EVM KPIs'!G5</f>
        <v>1002.15801035</v>
      </c>
      <c r="G4" s="29">
        <f>'EVM KPIs'!H5</f>
        <v>999.23490328000003</v>
      </c>
    </row>
    <row r="5" spans="2:9">
      <c r="B5" s="30" t="s">
        <v>154</v>
      </c>
      <c r="C5" s="31">
        <f>'EVM KPIs'!D7</f>
        <v>135.22188214000005</v>
      </c>
      <c r="D5" s="31">
        <f>'EVM KPIs'!E7</f>
        <v>179.07641951000005</v>
      </c>
      <c r="E5" s="31">
        <f>'EVM KPIs'!F7</f>
        <v>143.6018129900001</v>
      </c>
      <c r="F5" s="31">
        <f>'EVM KPIs'!G7</f>
        <v>185.02262824000002</v>
      </c>
      <c r="G5" s="31">
        <f>'EVM KPIs'!H7</f>
        <v>179.46957452000004</v>
      </c>
    </row>
    <row r="6" spans="2:9">
      <c r="B6" s="30" t="s">
        <v>155</v>
      </c>
      <c r="C6" s="32">
        <f>'EVM KPIs'!D9</f>
        <v>0.16008131850820848</v>
      </c>
      <c r="D6" s="32">
        <f>'EVM KPIs'!E9</f>
        <v>0.15250945045126987</v>
      </c>
      <c r="E6" s="32">
        <f>'EVM KPIs'!F9</f>
        <v>0.10539829270425674</v>
      </c>
      <c r="F6" s="32">
        <f>'EVM KPIs'!G9</f>
        <v>0.18453934345708101</v>
      </c>
      <c r="G6" s="32">
        <f>'EVM KPIs'!H9</f>
        <v>0.17963681430673983</v>
      </c>
      <c r="I6" s="134"/>
    </row>
    <row r="7" spans="2:9">
      <c r="B7" s="28" t="s">
        <v>156</v>
      </c>
      <c r="C7" s="29">
        <f>'EVM KPIs'!D10</f>
        <v>79.702944930000029</v>
      </c>
      <c r="D7" s="29">
        <f>'EVM KPIs'!E10</f>
        <v>98.454373289999964</v>
      </c>
      <c r="E7" s="29">
        <f>'EVM KPIs'!F10</f>
        <v>71.546575500000046</v>
      </c>
      <c r="F7" s="29">
        <f>'EVM KPIs'!G10</f>
        <v>90.376030529999994</v>
      </c>
      <c r="G7" s="29">
        <f>'EVM KPIs'!H10</f>
        <v>91.324092090000065</v>
      </c>
    </row>
    <row r="8" spans="2:9">
      <c r="B8" s="28" t="s">
        <v>165</v>
      </c>
      <c r="C8" s="29">
        <f>'EVM KPIs'!D27</f>
        <v>29.103999999999999</v>
      </c>
      <c r="D8" s="29">
        <f>'EVM KPIs'!E27</f>
        <v>22.864999999999998</v>
      </c>
      <c r="E8" s="29">
        <f>'EVM KPIs'!F27</f>
        <v>27.728000000000002</v>
      </c>
      <c r="F8" s="29">
        <f>'EVM KPIs'!G27</f>
        <v>24.02</v>
      </c>
      <c r="G8" s="29">
        <f>'EVM KPIs'!H27</f>
        <v>43.148000000000003</v>
      </c>
    </row>
    <row r="9" spans="2:9">
      <c r="B9" s="36"/>
      <c r="C9" s="37"/>
      <c r="D9" s="37"/>
      <c r="E9" s="37"/>
      <c r="F9" s="37"/>
      <c r="G9" s="37"/>
    </row>
    <row r="10" spans="2:9">
      <c r="B10" s="36"/>
      <c r="C10" s="27">
        <v>2021</v>
      </c>
      <c r="D10" s="27">
        <v>2022</v>
      </c>
      <c r="E10" s="27">
        <v>2023</v>
      </c>
      <c r="F10" s="27">
        <v>2024</v>
      </c>
      <c r="G10" s="27">
        <v>2025</v>
      </c>
    </row>
    <row r="11" spans="2:9">
      <c r="B11" s="30" t="s">
        <v>189</v>
      </c>
      <c r="C11" s="31">
        <f>'EVM KPIs'!D13</f>
        <v>19.969000000000001</v>
      </c>
      <c r="D11" s="31">
        <f>'EVM KPIs'!E13</f>
        <v>200.708</v>
      </c>
      <c r="E11" s="31">
        <f>'EVM KPIs'!F13</f>
        <v>-18.565999999999999</v>
      </c>
      <c r="F11" s="31">
        <f>'EVM KPIs'!G13</f>
        <v>60.789000000000001</v>
      </c>
      <c r="G11" s="31">
        <f>'EVM KPIs'!H13</f>
        <v>48.857999999999997</v>
      </c>
    </row>
    <row r="12" spans="2:9">
      <c r="B12" s="30" t="s">
        <v>190</v>
      </c>
      <c r="C12" s="31">
        <f>'EVM KPIs'!D14</f>
        <v>-25.314</v>
      </c>
      <c r="D12" s="31">
        <f>'EVM KPIs'!E14</f>
        <v>-14.952999999999999</v>
      </c>
      <c r="E12" s="31">
        <f>'EVM KPIs'!F14</f>
        <v>-5.5019999999999998</v>
      </c>
      <c r="F12" s="31">
        <f>'EVM KPIs'!G14</f>
        <v>-5.8780000000000001</v>
      </c>
      <c r="G12" s="31">
        <f>'EVM KPIs'!H14</f>
        <v>-41.741</v>
      </c>
    </row>
    <row r="13" spans="2:9">
      <c r="B13" s="34" t="s">
        <v>191</v>
      </c>
      <c r="C13" s="35">
        <f>Overview!D14</f>
        <v>-47.209000000000003</v>
      </c>
      <c r="D13" s="35">
        <f>Overview!E14</f>
        <v>-27.507000000000001</v>
      </c>
      <c r="E13" s="35">
        <f>Overview!F14</f>
        <v>-37.798999999999999</v>
      </c>
      <c r="F13" s="35">
        <f>Overview!G14</f>
        <v>-49.018000000000001</v>
      </c>
      <c r="G13" s="35">
        <f>Overview!H14</f>
        <v>-48.174999999999997</v>
      </c>
    </row>
    <row r="14" spans="2:9">
      <c r="B14" s="30" t="s">
        <v>188</v>
      </c>
      <c r="C14" s="56">
        <f t="shared" ref="C14:F14" si="0">SUM(C11:C13)</f>
        <v>-52.554000000000002</v>
      </c>
      <c r="D14" s="56">
        <f t="shared" si="0"/>
        <v>158.24799999999999</v>
      </c>
      <c r="E14" s="56">
        <f t="shared" si="0"/>
        <v>-61.866999999999997</v>
      </c>
      <c r="F14" s="56">
        <f t="shared" si="0"/>
        <v>5.8930000000000007</v>
      </c>
      <c r="G14" s="56">
        <f t="shared" ref="G14" si="1">SUM(G11:G13)</f>
        <v>-41.058</v>
      </c>
    </row>
    <row r="15" spans="2:9">
      <c r="B15" s="30"/>
      <c r="C15" s="56"/>
      <c r="D15" s="56"/>
      <c r="E15" s="56"/>
      <c r="F15" s="56"/>
      <c r="G15" s="56"/>
    </row>
    <row r="16" spans="2:9">
      <c r="B16" s="30"/>
      <c r="C16" s="27">
        <v>2021</v>
      </c>
      <c r="D16" s="27">
        <v>2022</v>
      </c>
      <c r="E16" s="27">
        <v>2023</v>
      </c>
      <c r="F16" s="27">
        <v>2024</v>
      </c>
      <c r="G16" s="27">
        <v>2025</v>
      </c>
    </row>
    <row r="17" spans="2:9">
      <c r="B17" s="36" t="s">
        <v>161</v>
      </c>
      <c r="C17" s="37">
        <f>'EVM KPIs'!D19</f>
        <v>1.29242002</v>
      </c>
      <c r="D17" s="37">
        <f>'EVM KPIs'!E19</f>
        <v>131.52221933999999</v>
      </c>
      <c r="E17" s="37">
        <f>'EVM KPIs'!F19</f>
        <v>69.654726490000002</v>
      </c>
      <c r="F17" s="37">
        <f>'EVM KPIs'!G19</f>
        <v>75.547680720000002</v>
      </c>
      <c r="G17" s="37">
        <f>'EVM KPIs'!H19</f>
        <v>34.48931889</v>
      </c>
    </row>
    <row r="18" spans="2:9">
      <c r="B18" s="36" t="s">
        <v>163</v>
      </c>
      <c r="C18" s="37">
        <f>'EVM KPIs'!D24</f>
        <v>249.15106299999997</v>
      </c>
      <c r="D18" s="37">
        <f>'EVM KPIs'!E24</f>
        <v>169.00466402999996</v>
      </c>
      <c r="E18" s="37">
        <f>'EVM KPIs'!F24</f>
        <v>196.43200583000001</v>
      </c>
      <c r="F18" s="37">
        <f>'EVM KPIs'!G24</f>
        <v>203.43755312999997</v>
      </c>
      <c r="G18" s="37">
        <f>'EVM KPIs'!H24</f>
        <v>237.23101693000001</v>
      </c>
    </row>
    <row r="19" spans="2:9">
      <c r="B19" s="30" t="s">
        <v>162</v>
      </c>
      <c r="C19" s="32">
        <f>'EVM KPIs'!D18</f>
        <v>0.37335501017770401</v>
      </c>
      <c r="D19" s="32">
        <f>'EVM KPIs'!E18</f>
        <v>0.35337425325886718</v>
      </c>
      <c r="E19" s="32">
        <f>'EVM KPIs'!F18</f>
        <v>0.36848118034728355</v>
      </c>
      <c r="F19" s="32">
        <f>'EVM KPIs'!G18</f>
        <v>0.37457217054388231</v>
      </c>
      <c r="G19" s="32">
        <f>'EVM KPIs'!H18</f>
        <v>0.39108362099358512</v>
      </c>
    </row>
    <row r="20" spans="2:9">
      <c r="B20" s="23"/>
      <c r="C20" s="24"/>
      <c r="D20" s="24"/>
      <c r="E20" s="24"/>
      <c r="F20" s="24"/>
      <c r="G20" s="24"/>
    </row>
    <row r="21" spans="2:9">
      <c r="B21" s="23"/>
      <c r="C21" s="24"/>
      <c r="D21" s="24"/>
      <c r="E21" s="24"/>
      <c r="F21" s="24"/>
      <c r="G21" s="24"/>
    </row>
    <row r="22" spans="2:9">
      <c r="B22" s="135" t="s">
        <v>183</v>
      </c>
      <c r="C22" s="135"/>
      <c r="D22" s="135"/>
      <c r="E22" s="135"/>
      <c r="F22" s="135"/>
      <c r="G22" s="38"/>
    </row>
    <row r="23" spans="2:9">
      <c r="B23" s="57" t="s">
        <v>172</v>
      </c>
      <c r="C23" s="58">
        <f>G23/$G$4</f>
        <v>0.48005628949250612</v>
      </c>
      <c r="D23" s="57"/>
      <c r="E23" s="57"/>
      <c r="G23" s="41">
        <f>'EVM Capex Revenue'!H15</f>
        <v>479.68900000000002</v>
      </c>
      <c r="I23" s="59"/>
    </row>
    <row r="24" spans="2:9">
      <c r="B24" s="57" t="s">
        <v>171</v>
      </c>
      <c r="C24" s="58">
        <f>G24/$G$4</f>
        <v>0.41114756765544919</v>
      </c>
      <c r="D24" s="57"/>
      <c r="E24" s="57"/>
      <c r="G24" s="41">
        <f>'EVM Capex Revenue'!H14</f>
        <v>410.83300000000003</v>
      </c>
      <c r="I24" s="59"/>
    </row>
    <row r="25" spans="2:9">
      <c r="B25" s="57" t="s">
        <v>173</v>
      </c>
      <c r="C25" s="58">
        <f>G25/$G$4</f>
        <v>3.7369591351770981E-2</v>
      </c>
      <c r="D25" s="57"/>
      <c r="E25" s="57"/>
      <c r="G25" s="41">
        <f>'EVM Capex Revenue'!H16</f>
        <v>37.341000000000001</v>
      </c>
    </row>
    <row r="26" spans="2:9">
      <c r="B26" s="57" t="s">
        <v>174</v>
      </c>
      <c r="C26" s="58">
        <f>G26/$G$4</f>
        <v>2.8948148133186774E-2</v>
      </c>
      <c r="D26" s="57"/>
      <c r="E26" s="57"/>
      <c r="G26" s="41">
        <f>'EVM Capex Revenue'!H17</f>
        <v>28.925999999999998</v>
      </c>
    </row>
    <row r="27" spans="2:9">
      <c r="B27" s="57" t="s">
        <v>175</v>
      </c>
      <c r="C27" s="58">
        <f>G27/$G$4</f>
        <v>4.2478500161143809E-2</v>
      </c>
      <c r="D27" s="57"/>
      <c r="E27" s="57"/>
      <c r="G27" s="41">
        <f>'EVM Capex Revenue'!H18</f>
        <v>42.445999999999998</v>
      </c>
    </row>
    <row r="28" spans="2:9">
      <c r="B28" s="23"/>
      <c r="C28" s="24"/>
      <c r="D28" s="24"/>
      <c r="E28" s="24"/>
      <c r="F28" s="24"/>
      <c r="G28" s="24"/>
    </row>
    <row r="29" spans="2:9">
      <c r="B29" s="23"/>
      <c r="C29" s="24"/>
      <c r="D29" s="24"/>
      <c r="E29" s="24"/>
      <c r="F29" s="24"/>
      <c r="G29" s="24"/>
    </row>
    <row r="30" spans="2:9" outlineLevel="1">
      <c r="B30" s="123" t="s">
        <v>184</v>
      </c>
      <c r="C30" s="124"/>
      <c r="D30" s="124"/>
      <c r="E30" s="124"/>
      <c r="F30" s="124"/>
      <c r="G30" s="124"/>
    </row>
    <row r="31" spans="2:9" outlineLevel="1">
      <c r="B31" s="26" t="s">
        <v>179</v>
      </c>
      <c r="C31" s="27">
        <v>2020</v>
      </c>
      <c r="D31" s="27">
        <v>2021</v>
      </c>
      <c r="E31" s="27">
        <v>2022</v>
      </c>
      <c r="F31" s="27">
        <v>2023</v>
      </c>
      <c r="G31" s="27">
        <v>2024</v>
      </c>
    </row>
    <row r="32" spans="2:9" outlineLevel="1">
      <c r="B32" s="23" t="s">
        <v>152</v>
      </c>
      <c r="C32" s="41">
        <f>'ENM KPIs'!B4</f>
        <v>311.44738806999999</v>
      </c>
      <c r="D32" s="41">
        <f>'ENM KPIs'!C4</f>
        <v>313.00272837</v>
      </c>
      <c r="E32" s="41">
        <f>'ENM KPIs'!D4</f>
        <v>340.52224151000001</v>
      </c>
      <c r="F32" s="41">
        <f>'ENM KPIs'!E4</f>
        <v>407.47915949999998</v>
      </c>
      <c r="G32" s="41">
        <f>'ENM KPIs'!F4</f>
        <v>379.54604484999999</v>
      </c>
    </row>
    <row r="33" spans="2:8" outlineLevel="1">
      <c r="B33" s="23" t="s">
        <v>156</v>
      </c>
      <c r="C33" s="41">
        <f>'ENM KPIs'!B8</f>
        <v>-4.4076399099999817</v>
      </c>
      <c r="D33" s="41">
        <f>'ENM KPIs'!C8</f>
        <v>9.3809481499999858</v>
      </c>
      <c r="E33" s="41">
        <f>'ENM KPIs'!D8</f>
        <v>-2.3540332799999888</v>
      </c>
      <c r="F33" s="41">
        <f>'ENM KPIs'!E8</f>
        <v>16.570261009999964</v>
      </c>
      <c r="G33" s="41">
        <f>'ENM KPIs'!F8</f>
        <v>18.71931535000007</v>
      </c>
    </row>
    <row r="34" spans="2:8" outlineLevel="1">
      <c r="B34" s="23" t="s">
        <v>165</v>
      </c>
      <c r="C34" s="41">
        <f>'ENM KPIs'!B14</f>
        <v>1.379</v>
      </c>
      <c r="D34" s="41">
        <f>'ENM KPIs'!C14</f>
        <v>13.01</v>
      </c>
      <c r="E34" s="41">
        <f>'ENM KPIs'!D14</f>
        <v>13.193</v>
      </c>
      <c r="F34" s="41">
        <f>'ENM KPIs'!E14</f>
        <v>16.373000000000001</v>
      </c>
      <c r="G34" s="41">
        <f>'ENM KPIs'!F14</f>
        <v>24.155999999999999</v>
      </c>
    </row>
    <row r="35" spans="2:8" outlineLevel="1">
      <c r="B35" s="23" t="s">
        <v>158</v>
      </c>
      <c r="C35" s="41">
        <f>'ENM KPIs'!B10</f>
        <v>14.398</v>
      </c>
      <c r="D35" s="41">
        <f>'ENM KPIs'!C10</f>
        <v>0.13100000000000001</v>
      </c>
      <c r="E35" s="41">
        <f>'ENM KPIs'!D10</f>
        <v>-9.5399999999999991</v>
      </c>
      <c r="F35" s="41">
        <f>'ENM KPIs'!E10</f>
        <v>4.5439999999999996</v>
      </c>
      <c r="G35" s="41">
        <f>'ENM KPIs'!F10</f>
        <v>14.406000000000001</v>
      </c>
    </row>
    <row r="36" spans="2:8" outlineLevel="1">
      <c r="B36" s="23" t="s">
        <v>160</v>
      </c>
      <c r="C36" s="41">
        <f>'ENM KPIs'!B12</f>
        <v>12.366999999999999</v>
      </c>
      <c r="D36" s="41">
        <f>'ENM KPIs'!C12</f>
        <v>-9.1720000000000006</v>
      </c>
      <c r="E36" s="41">
        <f>'ENM KPIs'!D12</f>
        <v>-18.546999999999997</v>
      </c>
      <c r="F36" s="41">
        <f>'ENM KPIs'!E12</f>
        <v>-6.4610000000000012</v>
      </c>
      <c r="G36" s="41">
        <f>'ENM KPIs'!F12</f>
        <v>-2.9550000000000001</v>
      </c>
    </row>
    <row r="37" spans="2:8" outlineLevel="1">
      <c r="B37" s="23" t="s">
        <v>162</v>
      </c>
      <c r="C37" s="42">
        <f>'ENM KPIs'!B13</f>
        <v>0</v>
      </c>
      <c r="D37" s="42">
        <f>'ENM KPIs'!C13</f>
        <v>0.64076160178350228</v>
      </c>
      <c r="E37" s="42">
        <f>'ENM KPIs'!D13</f>
        <v>0.60320631461682728</v>
      </c>
      <c r="F37" s="42">
        <f>'ENM KPIs'!E13</f>
        <v>0.591692572979444</v>
      </c>
      <c r="G37" s="42">
        <f>'ENM KPIs'!F13</f>
        <v>0.54072929607076625</v>
      </c>
    </row>
    <row r="38" spans="2:8">
      <c r="B38" s="23"/>
      <c r="C38" s="24"/>
      <c r="D38" s="24"/>
      <c r="E38" s="24"/>
      <c r="F38" s="24"/>
      <c r="G38" s="24"/>
    </row>
    <row r="39" spans="2:8">
      <c r="B39" s="30"/>
      <c r="C39" s="60"/>
      <c r="D39" s="60"/>
      <c r="E39" s="60"/>
      <c r="F39" s="60"/>
      <c r="G39" s="60"/>
    </row>
    <row r="40" spans="2:8">
      <c r="B40" s="135" t="s">
        <v>187</v>
      </c>
      <c r="C40" s="125"/>
      <c r="D40" s="125"/>
      <c r="E40" s="125"/>
      <c r="F40" s="125"/>
      <c r="G40" s="125"/>
      <c r="H40" s="133"/>
    </row>
    <row r="41" spans="2:8">
      <c r="B41" s="61"/>
      <c r="C41" s="27">
        <v>2021</v>
      </c>
      <c r="D41" s="27">
        <v>2022</v>
      </c>
      <c r="E41" s="27">
        <v>2023</v>
      </c>
      <c r="F41" s="27">
        <v>2024</v>
      </c>
      <c r="G41" s="27">
        <v>2025</v>
      </c>
    </row>
    <row r="42" spans="2:8">
      <c r="B42" s="30" t="s">
        <v>163</v>
      </c>
      <c r="C42" s="31">
        <f>'EVM KPIs'!D24</f>
        <v>249.15106299999997</v>
      </c>
      <c r="D42" s="31">
        <f>'EVM KPIs'!E24</f>
        <v>169.00466402999996</v>
      </c>
      <c r="E42" s="31">
        <f>'EVM KPIs'!F24</f>
        <v>196.43200583000001</v>
      </c>
      <c r="F42" s="31">
        <f>'EVM KPIs'!G24</f>
        <v>203.43755312999997</v>
      </c>
      <c r="G42" s="31">
        <f>'EVM KPIs'!H24</f>
        <v>237.23101693000001</v>
      </c>
    </row>
    <row r="43" spans="2:8">
      <c r="B43" s="30" t="s">
        <v>164</v>
      </c>
      <c r="C43" s="33">
        <f>'EVM KPIs'!D26</f>
        <v>3.125995698387551</v>
      </c>
      <c r="D43" s="33">
        <f>'EVM KPIs'!E26</f>
        <v>1.716578536660756</v>
      </c>
      <c r="E43" s="33">
        <f>'EVM KPIs'!F26</f>
        <v>2.7455123387421931</v>
      </c>
      <c r="F43" s="33">
        <f>'EVM KPIs'!G26</f>
        <v>2.2510122643909396</v>
      </c>
      <c r="G43" s="33">
        <f>'EVM KPIs'!H26</f>
        <v>2.5976827308199066</v>
      </c>
    </row>
    <row r="44" spans="2:8">
      <c r="B44" s="30"/>
      <c r="C44" s="60"/>
      <c r="D44" s="60"/>
      <c r="E44" s="60"/>
      <c r="F44" s="60"/>
      <c r="G44" s="60"/>
    </row>
    <row r="45" spans="2:8">
      <c r="B45" s="23"/>
      <c r="C45" s="24"/>
      <c r="D45" s="24"/>
      <c r="E45" s="24"/>
      <c r="F45" s="24"/>
      <c r="G45" s="24"/>
    </row>
    <row r="46" spans="2:8">
      <c r="B46" s="154" t="s">
        <v>185</v>
      </c>
      <c r="C46" s="155"/>
      <c r="D46" s="155"/>
      <c r="E46" s="155"/>
      <c r="F46" s="155"/>
      <c r="G46" s="155"/>
    </row>
    <row r="47" spans="2:8">
      <c r="B47" s="154"/>
      <c r="C47" s="155"/>
      <c r="D47" s="155"/>
      <c r="E47" s="155"/>
      <c r="F47" s="155"/>
      <c r="G47" s="155"/>
    </row>
    <row r="48" spans="2:8">
      <c r="B48" s="23"/>
      <c r="C48" s="24"/>
      <c r="D48" s="24"/>
      <c r="E48" s="24"/>
      <c r="F48" s="24"/>
      <c r="G48" s="24"/>
    </row>
    <row r="49" spans="2:7">
      <c r="B49" s="154" t="s">
        <v>224</v>
      </c>
      <c r="C49" s="155"/>
      <c r="D49" s="155"/>
      <c r="E49" s="155"/>
      <c r="F49" s="155"/>
      <c r="G49" s="155"/>
    </row>
    <row r="50" spans="2:7">
      <c r="B50" s="154"/>
      <c r="C50" s="155"/>
      <c r="D50" s="155"/>
      <c r="E50" s="155"/>
      <c r="F50" s="155"/>
      <c r="G50" s="155"/>
    </row>
  </sheetData>
  <mergeCells count="2">
    <mergeCell ref="B46:G47"/>
    <mergeCell ref="B49:G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5082-1E78-41DB-A62E-8D4F800E3B4B}">
  <sheetPr>
    <tabColor theme="3"/>
  </sheetPr>
  <dimension ref="A1"/>
  <sheetViews>
    <sheetView showGridLines="0" workbookViewId="0"/>
  </sheetViews>
  <sheetFormatPr defaultColWidth="9" defaultRowHeight="13.8"/>
  <sheetData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0"/>
  <sheetViews>
    <sheetView showGridLines="0" workbookViewId="0"/>
  </sheetViews>
  <sheetFormatPr defaultColWidth="9" defaultRowHeight="13.8"/>
  <cols>
    <col min="1" max="1" width="9" style="25"/>
    <col min="2" max="2" width="78" style="25" customWidth="1"/>
    <col min="3" max="8" width="14" style="25" customWidth="1"/>
    <col min="9" max="16384" width="9" style="25"/>
  </cols>
  <sheetData>
    <row r="2" spans="2:8" ht="17.399999999999999">
      <c r="B2" s="126" t="s">
        <v>209</v>
      </c>
      <c r="C2" s="126"/>
      <c r="D2" s="126"/>
      <c r="E2" s="126"/>
      <c r="F2" s="126"/>
      <c r="G2" s="126"/>
      <c r="H2" s="130"/>
    </row>
    <row r="3" spans="2:8">
      <c r="B3" s="44" t="s">
        <v>0</v>
      </c>
      <c r="C3" s="45">
        <v>2020</v>
      </c>
      <c r="D3" s="45">
        <f>C3+1</f>
        <v>2021</v>
      </c>
      <c r="E3" s="45">
        <f t="shared" ref="E3:H3" si="0">D3+1</f>
        <v>2022</v>
      </c>
      <c r="F3" s="45">
        <f t="shared" si="0"/>
        <v>2023</v>
      </c>
      <c r="G3" s="45">
        <f t="shared" si="0"/>
        <v>2024</v>
      </c>
      <c r="H3" s="45">
        <f t="shared" si="0"/>
        <v>2025</v>
      </c>
    </row>
    <row r="4" spans="2:8" ht="4.95" customHeight="1">
      <c r="B4" s="46"/>
      <c r="C4" s="47"/>
      <c r="D4" s="47"/>
      <c r="E4" s="47"/>
      <c r="F4" s="47"/>
      <c r="G4" s="47"/>
      <c r="H4" s="47"/>
    </row>
    <row r="5" spans="2:8">
      <c r="B5" s="48" t="s">
        <v>1</v>
      </c>
      <c r="C5" s="49">
        <f t="shared" ref="C5:H5" si="1">C6+C10+C15</f>
        <v>464.88530521000007</v>
      </c>
      <c r="D5" s="49">
        <f t="shared" si="1"/>
        <v>492.12125352999999</v>
      </c>
      <c r="E5" s="49">
        <f t="shared" si="1"/>
        <v>492.16858297999994</v>
      </c>
      <c r="F5" s="49">
        <f t="shared" si="1"/>
        <v>490.74288605999993</v>
      </c>
      <c r="G5" s="49">
        <f t="shared" si="1"/>
        <v>498.92700950000005</v>
      </c>
      <c r="H5" s="49">
        <f t="shared" si="1"/>
        <v>526.79158920999998</v>
      </c>
    </row>
    <row r="6" spans="2:8">
      <c r="B6" s="48" t="s">
        <v>2</v>
      </c>
      <c r="C6" s="49">
        <f t="shared" ref="C6:H6" si="2">C7+C8+C9</f>
        <v>2.8946850299999998</v>
      </c>
      <c r="D6" s="49">
        <f t="shared" si="2"/>
        <v>2.4441156399999997</v>
      </c>
      <c r="E6" s="49">
        <f t="shared" si="2"/>
        <v>1.9450065299999999</v>
      </c>
      <c r="F6" s="49">
        <f t="shared" si="2"/>
        <v>1.5032547100000002</v>
      </c>
      <c r="G6" s="49">
        <f t="shared" si="2"/>
        <v>1.94208029</v>
      </c>
      <c r="H6" s="49">
        <f t="shared" si="2"/>
        <v>1.7202425800000001</v>
      </c>
    </row>
    <row r="7" spans="2:8">
      <c r="B7" s="43" t="s">
        <v>3</v>
      </c>
      <c r="C7" s="50">
        <v>2.2845247599999996</v>
      </c>
      <c r="D7" s="50">
        <v>1.8847364</v>
      </c>
      <c r="E7" s="50">
        <v>1.4202901299999999</v>
      </c>
      <c r="F7" s="50">
        <v>1.03093115</v>
      </c>
      <c r="G7" s="50">
        <v>1.5221495700000001</v>
      </c>
      <c r="H7" s="50">
        <v>1.3527047000000001</v>
      </c>
    </row>
    <row r="8" spans="2:8">
      <c r="B8" s="43" t="s">
        <v>4</v>
      </c>
      <c r="C8" s="50">
        <v>0.59905227000000005</v>
      </c>
      <c r="D8" s="50">
        <v>0.54913124000000002</v>
      </c>
      <c r="E8" s="50">
        <v>0.51532840000000002</v>
      </c>
      <c r="F8" s="50">
        <v>0.46379556</v>
      </c>
      <c r="G8" s="50">
        <v>0.41226271999999997</v>
      </c>
      <c r="H8" s="50">
        <v>0.36072988</v>
      </c>
    </row>
    <row r="9" spans="2:8">
      <c r="B9" s="43" t="s">
        <v>5</v>
      </c>
      <c r="C9" s="50">
        <v>1.1108E-2</v>
      </c>
      <c r="D9" s="50">
        <v>1.0248E-2</v>
      </c>
      <c r="E9" s="50">
        <v>9.3880000000000005E-3</v>
      </c>
      <c r="F9" s="50">
        <v>8.5280000000000009E-3</v>
      </c>
      <c r="G9" s="50">
        <v>7.6680000000000003E-3</v>
      </c>
      <c r="H9" s="50">
        <v>6.8079999999999998E-3</v>
      </c>
    </row>
    <row r="10" spans="2:8">
      <c r="B10" s="48" t="s">
        <v>6</v>
      </c>
      <c r="C10" s="49">
        <f t="shared" ref="C10:H10" si="3">C11+C12+C13+C14</f>
        <v>144.72060089999999</v>
      </c>
      <c r="D10" s="49">
        <f t="shared" si="3"/>
        <v>160.56205304</v>
      </c>
      <c r="E10" s="49">
        <f t="shared" si="3"/>
        <v>168.37509673</v>
      </c>
      <c r="F10" s="49">
        <f t="shared" si="3"/>
        <v>171.00285335999996</v>
      </c>
      <c r="G10" s="49">
        <f t="shared" si="3"/>
        <v>178.72610220000001</v>
      </c>
      <c r="H10" s="49">
        <f t="shared" si="3"/>
        <v>204.39331122999999</v>
      </c>
    </row>
    <row r="11" spans="2:8">
      <c r="B11" s="43" t="s">
        <v>7</v>
      </c>
      <c r="C11" s="50">
        <v>11.262106080000001</v>
      </c>
      <c r="D11" s="50">
        <v>10.13187323</v>
      </c>
      <c r="E11" s="50">
        <v>9.0328036199999993</v>
      </c>
      <c r="F11" s="50">
        <v>8.5585715899999997</v>
      </c>
      <c r="G11" s="50">
        <v>8.0819163199999995</v>
      </c>
      <c r="H11" s="50">
        <v>7.6569539799999999</v>
      </c>
    </row>
    <row r="12" spans="2:8">
      <c r="B12" s="43" t="s">
        <v>8</v>
      </c>
      <c r="C12" s="50">
        <v>128.31185551999999</v>
      </c>
      <c r="D12" s="50">
        <v>141.44171588</v>
      </c>
      <c r="E12" s="50">
        <v>151.99206516999999</v>
      </c>
      <c r="F12" s="50">
        <v>151.39464230999999</v>
      </c>
      <c r="G12" s="50">
        <v>159.72650580000001</v>
      </c>
      <c r="H12" s="50">
        <v>183.19934624000001</v>
      </c>
    </row>
    <row r="13" spans="2:8">
      <c r="B13" s="43" t="s">
        <v>9</v>
      </c>
      <c r="C13" s="50">
        <v>1.85091206</v>
      </c>
      <c r="D13" s="50">
        <v>2.0599320200000002</v>
      </c>
      <c r="E13" s="50">
        <v>1.8317892</v>
      </c>
      <c r="F13" s="50">
        <v>1.8879634699999999</v>
      </c>
      <c r="G13" s="50">
        <v>1.73019605</v>
      </c>
      <c r="H13" s="50">
        <v>1.71791312</v>
      </c>
    </row>
    <row r="14" spans="2:8">
      <c r="B14" s="43" t="s">
        <v>10</v>
      </c>
      <c r="C14" s="50">
        <v>3.2957272400000002</v>
      </c>
      <c r="D14" s="50">
        <v>6.9285319100000002</v>
      </c>
      <c r="E14" s="50">
        <v>5.5184387400000006</v>
      </c>
      <c r="F14" s="50">
        <v>9.1616759900000009</v>
      </c>
      <c r="G14" s="50">
        <v>9.1874840299999985</v>
      </c>
      <c r="H14" s="50">
        <v>11.81909789</v>
      </c>
    </row>
    <row r="15" spans="2:8">
      <c r="B15" s="48" t="s">
        <v>11</v>
      </c>
      <c r="C15" s="49">
        <f t="shared" ref="C15:H15" si="4">C16+C17+C18+C19+C20+C21</f>
        <v>317.27001928000004</v>
      </c>
      <c r="D15" s="49">
        <f t="shared" si="4"/>
        <v>329.11508485000002</v>
      </c>
      <c r="E15" s="49">
        <f t="shared" si="4"/>
        <v>321.84847971999994</v>
      </c>
      <c r="F15" s="49">
        <f t="shared" si="4"/>
        <v>318.23677799000001</v>
      </c>
      <c r="G15" s="49">
        <f t="shared" si="4"/>
        <v>318.25882701</v>
      </c>
      <c r="H15" s="49">
        <f t="shared" si="4"/>
        <v>320.67803540000006</v>
      </c>
    </row>
    <row r="16" spans="2:8">
      <c r="B16" s="43" t="s">
        <v>12</v>
      </c>
      <c r="C16" s="50">
        <v>225.25099458000003</v>
      </c>
      <c r="D16" s="50">
        <v>239.25099458000003</v>
      </c>
      <c r="E16" s="50">
        <v>242.65593516999999</v>
      </c>
      <c r="F16" s="50">
        <v>242.26354738999999</v>
      </c>
      <c r="G16" s="50">
        <v>242.27579738999998</v>
      </c>
      <c r="H16" s="50">
        <v>242.27579739000001</v>
      </c>
    </row>
    <row r="17" spans="2:8">
      <c r="B17" s="43" t="s">
        <v>13</v>
      </c>
      <c r="C17" s="50">
        <v>25.1921</v>
      </c>
      <c r="D17" s="50">
        <v>22.968565870000003</v>
      </c>
      <c r="E17" s="50">
        <v>12.118565869999999</v>
      </c>
      <c r="F17" s="50">
        <v>9.1211658699999987</v>
      </c>
      <c r="G17" s="50">
        <v>7.1211658700000005</v>
      </c>
      <c r="H17" s="50">
        <v>4.8761658700000003</v>
      </c>
    </row>
    <row r="18" spans="2:8">
      <c r="B18" s="43" t="s">
        <v>14</v>
      </c>
      <c r="C18" s="50">
        <v>14.218144720000002</v>
      </c>
      <c r="D18" s="50">
        <v>14.218144720000002</v>
      </c>
      <c r="E18" s="50">
        <v>14.26814472</v>
      </c>
      <c r="F18" s="50">
        <v>14.11591833</v>
      </c>
      <c r="G18" s="50">
        <v>13.993911150000001</v>
      </c>
      <c r="H18" s="50">
        <v>14.018911149999999</v>
      </c>
    </row>
    <row r="19" spans="2:8">
      <c r="B19" s="43" t="s">
        <v>15</v>
      </c>
      <c r="C19" s="50">
        <v>1.75486812</v>
      </c>
      <c r="D19" s="50">
        <v>1.8475120700000001</v>
      </c>
      <c r="E19" s="50">
        <v>1.98993284</v>
      </c>
      <c r="F19" s="50">
        <v>1.93212366</v>
      </c>
      <c r="G19" s="50">
        <v>4.0740775500000002</v>
      </c>
      <c r="H19" s="50">
        <v>8.7157873400000003</v>
      </c>
    </row>
    <row r="20" spans="2:8">
      <c r="B20" s="43" t="s">
        <v>16</v>
      </c>
      <c r="C20" s="50">
        <v>50.783225560000005</v>
      </c>
      <c r="D20" s="50">
        <v>50.783225560000005</v>
      </c>
      <c r="E20" s="50">
        <v>50.783225560000005</v>
      </c>
      <c r="F20" s="50">
        <v>50.783225560000005</v>
      </c>
      <c r="G20" s="50">
        <v>50.783225560000005</v>
      </c>
      <c r="H20" s="50">
        <v>50.783225559999998</v>
      </c>
    </row>
    <row r="21" spans="2:8">
      <c r="B21" s="43" t="s">
        <v>17</v>
      </c>
      <c r="C21" s="50">
        <v>7.0686300000000007E-2</v>
      </c>
      <c r="D21" s="50">
        <v>4.6642050000000004E-2</v>
      </c>
      <c r="E21" s="50">
        <v>3.2675559999999999E-2</v>
      </c>
      <c r="F21" s="50">
        <v>2.0797180000000002E-2</v>
      </c>
      <c r="G21" s="50">
        <v>1.0649489999999999E-2</v>
      </c>
      <c r="H21" s="50">
        <v>8.1480900000000002E-3</v>
      </c>
    </row>
    <row r="22" spans="2:8">
      <c r="B22" s="48" t="s">
        <v>18</v>
      </c>
      <c r="C22" s="49">
        <f t="shared" ref="C22:H22" si="5">C23+C27+C31</f>
        <v>128.33156374999999</v>
      </c>
      <c r="D22" s="49">
        <f t="shared" si="5"/>
        <v>185.44422686000001</v>
      </c>
      <c r="E22" s="49">
        <f t="shared" si="5"/>
        <v>244.27363733999999</v>
      </c>
      <c r="F22" s="49">
        <f t="shared" si="5"/>
        <v>235.13546736000001</v>
      </c>
      <c r="G22" s="49">
        <f t="shared" si="5"/>
        <v>252.33126980999998</v>
      </c>
      <c r="H22" s="49">
        <f t="shared" si="5"/>
        <v>210.57914550999999</v>
      </c>
    </row>
    <row r="23" spans="2:8">
      <c r="B23" s="48" t="s">
        <v>19</v>
      </c>
      <c r="C23" s="49">
        <f>C24+C25+C26</f>
        <v>1.2298639599999999</v>
      </c>
      <c r="D23" s="49">
        <f t="shared" ref="D23:H23" si="6">D24+D25+D26</f>
        <v>26.23068327</v>
      </c>
      <c r="E23" s="49">
        <f t="shared" si="6"/>
        <v>0.87750041000000001</v>
      </c>
      <c r="F23" s="49">
        <f t="shared" si="6"/>
        <v>24.68527735</v>
      </c>
      <c r="G23" s="49">
        <f t="shared" si="6"/>
        <v>32.602191349999998</v>
      </c>
      <c r="H23" s="49">
        <f t="shared" si="6"/>
        <v>41.186683070000001</v>
      </c>
    </row>
    <row r="24" spans="2:8">
      <c r="B24" s="43" t="s">
        <v>20</v>
      </c>
      <c r="C24" s="50"/>
      <c r="D24" s="50">
        <v>25.75</v>
      </c>
      <c r="E24" s="50"/>
      <c r="F24" s="50">
        <v>24.003920000000001</v>
      </c>
      <c r="G24" s="50">
        <v>31.503430000000002</v>
      </c>
      <c r="H24" s="50">
        <v>40.153576999999999</v>
      </c>
    </row>
    <row r="25" spans="2:8">
      <c r="B25" s="43" t="s">
        <v>21</v>
      </c>
      <c r="C25" s="50">
        <v>1.2298639599999999</v>
      </c>
      <c r="D25" s="50">
        <v>0.48068327</v>
      </c>
      <c r="E25" s="50">
        <v>0.57829330000000001</v>
      </c>
      <c r="F25" s="50">
        <v>0.52495698000000002</v>
      </c>
      <c r="G25" s="50">
        <v>0.98581788999999997</v>
      </c>
      <c r="H25" s="50">
        <v>0.81992622999999998</v>
      </c>
    </row>
    <row r="26" spans="2:8">
      <c r="B26" s="43" t="s">
        <v>22</v>
      </c>
      <c r="C26" s="50"/>
      <c r="D26" s="50"/>
      <c r="E26" s="50">
        <v>0.29920711</v>
      </c>
      <c r="F26" s="50">
        <v>0.15640037000000001</v>
      </c>
      <c r="G26" s="50">
        <v>0.11294346000000001</v>
      </c>
      <c r="H26" s="50">
        <v>0.21317984000000001</v>
      </c>
    </row>
    <row r="27" spans="2:8">
      <c r="B27" s="48" t="s">
        <v>23</v>
      </c>
      <c r="C27" s="49">
        <f t="shared" ref="C27:H27" si="7">C28+C29+C30</f>
        <v>101.27410190999998</v>
      </c>
      <c r="D27" s="49">
        <f t="shared" si="7"/>
        <v>157.92112357000002</v>
      </c>
      <c r="E27" s="49">
        <f t="shared" si="7"/>
        <v>111.87391758999999</v>
      </c>
      <c r="F27" s="49">
        <f t="shared" si="7"/>
        <v>140.79546352</v>
      </c>
      <c r="G27" s="49">
        <f t="shared" si="7"/>
        <v>144.18139773999999</v>
      </c>
      <c r="H27" s="49">
        <f t="shared" si="7"/>
        <v>134.90314354999998</v>
      </c>
    </row>
    <row r="28" spans="2:8">
      <c r="B28" s="43" t="s">
        <v>24</v>
      </c>
      <c r="C28" s="50">
        <v>76.539946889999996</v>
      </c>
      <c r="D28" s="50">
        <v>138.02012675</v>
      </c>
      <c r="E28" s="50">
        <v>83.155300389999994</v>
      </c>
      <c r="F28" s="50">
        <v>114.71623690000001</v>
      </c>
      <c r="G28" s="50">
        <v>118.74063784000001</v>
      </c>
      <c r="H28" s="50">
        <v>116.03585724</v>
      </c>
    </row>
    <row r="29" spans="2:8">
      <c r="B29" s="43" t="s">
        <v>25</v>
      </c>
      <c r="C29" s="50">
        <v>19.284357399999998</v>
      </c>
      <c r="D29" s="50">
        <v>12.217938869999999</v>
      </c>
      <c r="E29" s="50">
        <v>11.114513329999999</v>
      </c>
      <c r="F29" s="50">
        <v>16.167012710000002</v>
      </c>
      <c r="G29" s="50">
        <v>15.610880009999999</v>
      </c>
      <c r="H29" s="50">
        <v>13.194712969999999</v>
      </c>
    </row>
    <row r="30" spans="2:8">
      <c r="B30" s="43" t="s">
        <v>26</v>
      </c>
      <c r="C30" s="50">
        <v>5.44979762</v>
      </c>
      <c r="D30" s="50">
        <v>7.6830579500000002</v>
      </c>
      <c r="E30" s="50">
        <v>17.604103869999999</v>
      </c>
      <c r="F30" s="50">
        <v>9.9122139100000002</v>
      </c>
      <c r="G30" s="50">
        <v>9.8298798900000008</v>
      </c>
      <c r="H30" s="50">
        <v>5.6725733399999996</v>
      </c>
    </row>
    <row r="31" spans="2:8">
      <c r="B31" s="48" t="s">
        <v>27</v>
      </c>
      <c r="C31" s="51">
        <v>25.827597879999999</v>
      </c>
      <c r="D31" s="51">
        <v>1.29242002</v>
      </c>
      <c r="E31" s="51">
        <v>131.52221933999999</v>
      </c>
      <c r="F31" s="51">
        <v>69.654726490000002</v>
      </c>
      <c r="G31" s="51">
        <v>75.547680720000002</v>
      </c>
      <c r="H31" s="51">
        <v>34.48931889</v>
      </c>
    </row>
    <row r="32" spans="2:8">
      <c r="B32" s="48" t="s">
        <v>28</v>
      </c>
      <c r="C32" s="51">
        <v>0.83834640000000005</v>
      </c>
      <c r="D32" s="51">
        <v>0.41061929999999996</v>
      </c>
      <c r="E32" s="51">
        <v>0.5690655</v>
      </c>
      <c r="F32" s="51">
        <v>0.88367328000000001</v>
      </c>
      <c r="G32" s="51">
        <v>0.64073184999999999</v>
      </c>
      <c r="H32" s="51">
        <v>2.0608528399999999</v>
      </c>
    </row>
    <row r="33" spans="2:8">
      <c r="B33" s="48" t="s">
        <v>29</v>
      </c>
      <c r="C33" s="49">
        <f t="shared" ref="C33:H33" si="8">C5+C22+C32</f>
        <v>594.05521536000003</v>
      </c>
      <c r="D33" s="49">
        <f t="shared" si="8"/>
        <v>677.97609968999996</v>
      </c>
      <c r="E33" s="49">
        <f t="shared" si="8"/>
        <v>737.0112858199999</v>
      </c>
      <c r="F33" s="49">
        <f t="shared" si="8"/>
        <v>726.76202669999998</v>
      </c>
      <c r="G33" s="49">
        <f t="shared" si="8"/>
        <v>751.89901115999999</v>
      </c>
      <c r="H33" s="49">
        <f t="shared" si="8"/>
        <v>739.43158756000003</v>
      </c>
    </row>
    <row r="34" spans="2:8" ht="4.95" customHeight="1">
      <c r="B34" s="52"/>
      <c r="C34" s="53"/>
      <c r="D34" s="53"/>
      <c r="E34" s="53"/>
      <c r="F34" s="53"/>
      <c r="G34" s="53"/>
      <c r="H34" s="53"/>
    </row>
    <row r="35" spans="2:8">
      <c r="B35" s="52" t="s">
        <v>30</v>
      </c>
      <c r="C35" s="53">
        <f t="shared" ref="C35:H35" si="9">C36+C37+C38+C41</f>
        <v>250.11970572000001</v>
      </c>
      <c r="D35" s="53">
        <f t="shared" si="9"/>
        <v>253.1257736</v>
      </c>
      <c r="E35" s="53">
        <f t="shared" si="9"/>
        <v>260.44081276999998</v>
      </c>
      <c r="F35" s="53">
        <f t="shared" si="9"/>
        <v>267.79812943000002</v>
      </c>
      <c r="G35" s="53">
        <f t="shared" si="9"/>
        <v>281.64044464</v>
      </c>
      <c r="H35" s="53">
        <f t="shared" si="9"/>
        <v>289.17958274</v>
      </c>
    </row>
    <row r="36" spans="2:8">
      <c r="B36" s="48" t="s">
        <v>31</v>
      </c>
      <c r="C36" s="51">
        <v>131.31009800000001</v>
      </c>
      <c r="D36" s="51">
        <v>131.31009800000001</v>
      </c>
      <c r="E36" s="51">
        <v>131.31009800000001</v>
      </c>
      <c r="F36" s="51">
        <v>131.31009800000001</v>
      </c>
      <c r="G36" s="51">
        <v>131.31009800000001</v>
      </c>
      <c r="H36" s="51">
        <v>131.31009800000001</v>
      </c>
    </row>
    <row r="37" spans="2:8">
      <c r="B37" s="48" t="s">
        <v>32</v>
      </c>
      <c r="C37" s="51">
        <v>99.807492709999991</v>
      </c>
      <c r="D37" s="51">
        <v>99.807492709999991</v>
      </c>
      <c r="E37" s="51">
        <v>99.807492709999991</v>
      </c>
      <c r="F37" s="51">
        <v>99.807492709999991</v>
      </c>
      <c r="G37" s="51">
        <v>99.807492709999991</v>
      </c>
      <c r="H37" s="51">
        <v>99.807492710000005</v>
      </c>
    </row>
    <row r="38" spans="2:8">
      <c r="B38" s="48" t="s">
        <v>33</v>
      </c>
      <c r="C38" s="49">
        <f t="shared" ref="C38:H38" si="10">C39+C40</f>
        <v>19.002115010000001</v>
      </c>
      <c r="D38" s="49">
        <f t="shared" si="10"/>
        <v>22.00818289</v>
      </c>
      <c r="E38" s="49">
        <f t="shared" si="10"/>
        <v>29.323222059999999</v>
      </c>
      <c r="F38" s="49">
        <f t="shared" si="10"/>
        <v>36.680538720000001</v>
      </c>
      <c r="G38" s="49">
        <f t="shared" si="10"/>
        <v>50.522853929999997</v>
      </c>
      <c r="H38" s="49">
        <f t="shared" si="10"/>
        <v>58.061992029999999</v>
      </c>
    </row>
    <row r="39" spans="2:8">
      <c r="B39" s="43" t="s">
        <v>34</v>
      </c>
      <c r="C39" s="50"/>
      <c r="D39" s="50">
        <v>2.8451812900000002</v>
      </c>
      <c r="E39" s="50">
        <v>2.8451812900000002</v>
      </c>
      <c r="F39" s="50">
        <v>2.8451812900000002</v>
      </c>
      <c r="G39" s="50">
        <v>2.8451812900000002</v>
      </c>
      <c r="H39" s="50">
        <v>2.8451812900000002</v>
      </c>
    </row>
    <row r="40" spans="2:8">
      <c r="B40" s="43" t="s">
        <v>35</v>
      </c>
      <c r="C40" s="50">
        <v>19.002115010000001</v>
      </c>
      <c r="D40" s="50">
        <v>19.163001600000001</v>
      </c>
      <c r="E40" s="50">
        <v>26.47804077</v>
      </c>
      <c r="F40" s="50">
        <v>33.835357430000002</v>
      </c>
      <c r="G40" s="50">
        <v>47.677672639999997</v>
      </c>
      <c r="H40" s="50">
        <v>55.21681074</v>
      </c>
    </row>
    <row r="41" spans="2:8">
      <c r="B41" s="48" t="s">
        <v>36</v>
      </c>
      <c r="C41" s="51"/>
      <c r="D41" s="51">
        <v>0</v>
      </c>
      <c r="E41" s="51">
        <v>0</v>
      </c>
      <c r="F41" s="51">
        <v>0</v>
      </c>
      <c r="G41" s="51">
        <v>0</v>
      </c>
      <c r="H41" s="51">
        <v>0</v>
      </c>
    </row>
    <row r="42" spans="2:8" s="55" customFormat="1" ht="4.95" customHeight="1">
      <c r="B42" s="52"/>
      <c r="C42" s="54"/>
      <c r="D42" s="54"/>
      <c r="E42" s="54"/>
      <c r="F42" s="54"/>
      <c r="G42" s="54"/>
      <c r="H42" s="54"/>
    </row>
    <row r="43" spans="2:8" s="55" customFormat="1">
      <c r="B43" s="52" t="s">
        <v>37</v>
      </c>
      <c r="C43" s="54">
        <v>1.0916765500000001</v>
      </c>
      <c r="D43" s="54">
        <v>1.1061198300000001</v>
      </c>
      <c r="E43" s="54">
        <v>1.4592003600000001</v>
      </c>
      <c r="F43" s="54">
        <v>1.35943568</v>
      </c>
      <c r="G43" s="54">
        <v>1.28224063</v>
      </c>
      <c r="H43" s="54">
        <v>0.82030252000000003</v>
      </c>
    </row>
    <row r="44" spans="2:8">
      <c r="B44" s="48" t="s">
        <v>38</v>
      </c>
      <c r="C44" s="49">
        <f t="shared" ref="C44:H44" si="11">C45+C46+C47</f>
        <v>180.01187958</v>
      </c>
      <c r="D44" s="49">
        <f t="shared" si="11"/>
        <v>213.374008</v>
      </c>
      <c r="E44" s="49">
        <f t="shared" si="11"/>
        <v>235.24519299999997</v>
      </c>
      <c r="F44" s="49">
        <f t="shared" si="11"/>
        <v>231.24569300000002</v>
      </c>
      <c r="G44" s="49">
        <f t="shared" si="11"/>
        <v>250.50432000000001</v>
      </c>
      <c r="H44" s="49">
        <f t="shared" si="11"/>
        <v>247.28203999999999</v>
      </c>
    </row>
    <row r="45" spans="2:8">
      <c r="B45" s="43" t="s">
        <v>39</v>
      </c>
      <c r="C45" s="50">
        <v>133.72777099999999</v>
      </c>
      <c r="D45" s="50">
        <v>145.95630800000001</v>
      </c>
      <c r="E45" s="50">
        <v>172.49049299999999</v>
      </c>
      <c r="F45" s="50">
        <v>171.61949300000001</v>
      </c>
      <c r="G45" s="50">
        <v>171.08042</v>
      </c>
      <c r="H45" s="50">
        <v>163.13324</v>
      </c>
    </row>
    <row r="46" spans="2:8">
      <c r="B46" s="43" t="s">
        <v>40</v>
      </c>
      <c r="C46" s="50">
        <v>3.61</v>
      </c>
      <c r="D46" s="50">
        <v>0.4</v>
      </c>
      <c r="E46" s="50">
        <v>0.78</v>
      </c>
      <c r="F46" s="50">
        <v>0.87</v>
      </c>
      <c r="G46" s="50">
        <v>1.19</v>
      </c>
      <c r="H46" s="50">
        <v>1.37</v>
      </c>
    </row>
    <row r="47" spans="2:8">
      <c r="B47" s="43" t="s">
        <v>41</v>
      </c>
      <c r="C47" s="50">
        <v>42.674108579999995</v>
      </c>
      <c r="D47" s="50">
        <v>67.017700000000005</v>
      </c>
      <c r="E47" s="50">
        <v>61.974699999999999</v>
      </c>
      <c r="F47" s="50">
        <v>58.7562</v>
      </c>
      <c r="G47" s="50">
        <v>78.233900000000006</v>
      </c>
      <c r="H47" s="50">
        <v>82.778800000000004</v>
      </c>
    </row>
    <row r="48" spans="2:8">
      <c r="B48" s="48" t="s">
        <v>42</v>
      </c>
      <c r="C48" s="49">
        <f t="shared" ref="C48:H48" si="12">C49+C51+C53+C55+C57</f>
        <v>161.03157665000001</v>
      </c>
      <c r="D48" s="49">
        <f t="shared" si="12"/>
        <v>209.09396949000001</v>
      </c>
      <c r="E48" s="49">
        <f t="shared" si="12"/>
        <v>238.73608694000001</v>
      </c>
      <c r="F48" s="49">
        <f t="shared" si="12"/>
        <v>225.30850666000001</v>
      </c>
      <c r="G48" s="49">
        <f t="shared" si="12"/>
        <v>217.50622487999999</v>
      </c>
      <c r="H48" s="49">
        <f t="shared" si="12"/>
        <v>201.24052926999997</v>
      </c>
    </row>
    <row r="49" spans="2:8">
      <c r="B49" s="43" t="s">
        <v>43</v>
      </c>
      <c r="C49" s="50"/>
      <c r="D49" s="50">
        <v>28.018300100000001</v>
      </c>
      <c r="E49" s="50">
        <v>20</v>
      </c>
      <c r="F49" s="50">
        <v>20</v>
      </c>
      <c r="G49" s="50">
        <v>20</v>
      </c>
      <c r="H49" s="50">
        <v>20</v>
      </c>
    </row>
    <row r="50" spans="2:8">
      <c r="B50" s="43" t="s">
        <v>44</v>
      </c>
      <c r="C50" s="50"/>
      <c r="D50" s="50">
        <v>28.018300100000001</v>
      </c>
      <c r="E50" s="50">
        <v>20</v>
      </c>
      <c r="F50" s="50">
        <v>20</v>
      </c>
      <c r="G50" s="50">
        <v>20</v>
      </c>
      <c r="H50" s="50">
        <v>20</v>
      </c>
    </row>
    <row r="51" spans="2:8">
      <c r="B51" s="43" t="s">
        <v>45</v>
      </c>
      <c r="C51" s="50">
        <v>15.20309374</v>
      </c>
      <c r="D51" s="50">
        <v>12.694356239999999</v>
      </c>
      <c r="E51" s="50">
        <v>12.030536339999999</v>
      </c>
      <c r="F51" s="50">
        <v>10.97998424</v>
      </c>
      <c r="G51" s="50">
        <v>10.34345624</v>
      </c>
      <c r="H51" s="50">
        <v>9.5728797700000001</v>
      </c>
    </row>
    <row r="52" spans="2:8">
      <c r="B52" s="43" t="s">
        <v>46</v>
      </c>
      <c r="C52" s="50"/>
      <c r="D52" s="50">
        <v>12.694356239999999</v>
      </c>
      <c r="E52" s="50">
        <v>12.030536339999999</v>
      </c>
      <c r="F52" s="50">
        <v>10.97998424</v>
      </c>
      <c r="G52" s="50">
        <v>10.34345624</v>
      </c>
      <c r="H52" s="50">
        <v>9.5728797700000001</v>
      </c>
    </row>
    <row r="53" spans="2:8">
      <c r="B53" s="43" t="s">
        <v>47</v>
      </c>
      <c r="C53" s="50">
        <v>44.098212119999999</v>
      </c>
      <c r="D53" s="50">
        <v>50.394325250000001</v>
      </c>
      <c r="E53" s="50">
        <v>69.814638549999998</v>
      </c>
      <c r="F53" s="50">
        <v>92.47140198999999</v>
      </c>
      <c r="G53" s="50">
        <v>59.365776070000003</v>
      </c>
      <c r="H53" s="50">
        <v>56.698199129999999</v>
      </c>
    </row>
    <row r="54" spans="2:8">
      <c r="B54" s="43" t="s">
        <v>46</v>
      </c>
      <c r="C54" s="50"/>
      <c r="D54" s="50">
        <v>50.394325250000001</v>
      </c>
      <c r="E54" s="50">
        <v>69.814638549999998</v>
      </c>
      <c r="F54" s="50">
        <v>92.47140198999999</v>
      </c>
      <c r="G54" s="50">
        <v>59.365776070000003</v>
      </c>
      <c r="H54" s="50">
        <v>56.698199129999999</v>
      </c>
    </row>
    <row r="55" spans="2:8">
      <c r="B55" s="43" t="s">
        <v>48</v>
      </c>
      <c r="C55" s="50">
        <v>85.194546400000007</v>
      </c>
      <c r="D55" s="50">
        <v>88.686813790000002</v>
      </c>
      <c r="E55" s="50">
        <v>119.1509037</v>
      </c>
      <c r="F55" s="50">
        <v>90.634252029999999</v>
      </c>
      <c r="G55" s="50">
        <v>103.51569386</v>
      </c>
      <c r="H55" s="50">
        <v>101.78180879</v>
      </c>
    </row>
    <row r="56" spans="2:8">
      <c r="B56" s="43" t="s">
        <v>49</v>
      </c>
      <c r="C56" s="50"/>
      <c r="D56" s="50">
        <v>88.686813790000002</v>
      </c>
      <c r="E56" s="50">
        <v>119.1509037</v>
      </c>
      <c r="F56" s="50">
        <v>90.634252029999999</v>
      </c>
      <c r="G56" s="50">
        <v>103.51569386</v>
      </c>
      <c r="H56" s="50">
        <v>0</v>
      </c>
    </row>
    <row r="57" spans="2:8">
      <c r="B57" s="43" t="s">
        <v>50</v>
      </c>
      <c r="C57" s="50">
        <v>16.535724390000002</v>
      </c>
      <c r="D57" s="50">
        <v>29.30017411</v>
      </c>
      <c r="E57" s="50">
        <v>17.74000835</v>
      </c>
      <c r="F57" s="50">
        <v>11.222868400000001</v>
      </c>
      <c r="G57" s="50">
        <v>24.281298710000002</v>
      </c>
      <c r="H57" s="50">
        <v>13.187641579999999</v>
      </c>
    </row>
    <row r="58" spans="2:8">
      <c r="B58" s="43" t="s">
        <v>51</v>
      </c>
      <c r="C58" s="50"/>
      <c r="D58" s="50">
        <v>23.776906879999999</v>
      </c>
      <c r="E58" s="50">
        <v>11.458163669999999</v>
      </c>
      <c r="F58" s="50">
        <v>5.1384517000000001</v>
      </c>
      <c r="G58" s="50">
        <v>18.77943337</v>
      </c>
      <c r="H58" s="50">
        <v>7.16191654</v>
      </c>
    </row>
    <row r="59" spans="2:8">
      <c r="B59" s="43" t="s">
        <v>52</v>
      </c>
      <c r="C59" s="50">
        <v>0.20625813000000001</v>
      </c>
      <c r="D59" s="50"/>
      <c r="E59" s="50">
        <v>0.19702343999999999</v>
      </c>
      <c r="F59" s="50">
        <v>0.19446886999999999</v>
      </c>
      <c r="G59" s="50">
        <v>0.20888210999999998</v>
      </c>
      <c r="H59" s="50">
        <v>0.24630858</v>
      </c>
    </row>
    <row r="60" spans="2:8">
      <c r="B60" s="43" t="s">
        <v>46</v>
      </c>
      <c r="C60" s="50"/>
      <c r="D60" s="50">
        <v>29.30017411</v>
      </c>
      <c r="E60" s="50">
        <v>17.74000835</v>
      </c>
      <c r="F60" s="50">
        <v>11.222868399999999</v>
      </c>
      <c r="G60" s="50">
        <v>24.281298710000002</v>
      </c>
      <c r="H60" s="50">
        <v>13.187641579999999</v>
      </c>
    </row>
    <row r="61" spans="2:8">
      <c r="B61" s="48" t="s">
        <v>53</v>
      </c>
      <c r="C61" s="51">
        <v>1.8003768600000001</v>
      </c>
      <c r="D61" s="51">
        <v>1.2762287699999999</v>
      </c>
      <c r="E61" s="51">
        <v>1.12999275</v>
      </c>
      <c r="F61" s="51">
        <v>1.05026193</v>
      </c>
      <c r="G61" s="51">
        <v>0.96578101000000005</v>
      </c>
      <c r="H61" s="51">
        <v>0.90913303000000001</v>
      </c>
    </row>
    <row r="62" spans="2:8">
      <c r="B62" s="48" t="s">
        <v>54</v>
      </c>
      <c r="C62" s="49">
        <f t="shared" ref="C62:H62" si="13">C35+C43+C44+C48+C61</f>
        <v>594.05521536000003</v>
      </c>
      <c r="D62" s="49">
        <f t="shared" si="13"/>
        <v>677.97609968999996</v>
      </c>
      <c r="E62" s="49">
        <f t="shared" si="13"/>
        <v>737.01128582000001</v>
      </c>
      <c r="F62" s="49">
        <f t="shared" si="13"/>
        <v>726.76202670000009</v>
      </c>
      <c r="G62" s="49">
        <f t="shared" si="13"/>
        <v>751.89901115999999</v>
      </c>
      <c r="H62" s="49">
        <f t="shared" si="13"/>
        <v>739.43158756000003</v>
      </c>
    </row>
    <row r="63" spans="2:8">
      <c r="B63" s="52"/>
      <c r="C63" s="53"/>
      <c r="D63" s="53"/>
      <c r="E63" s="53"/>
      <c r="F63" s="53"/>
      <c r="G63" s="53"/>
      <c r="H63" s="53"/>
    </row>
    <row r="64" spans="2:8">
      <c r="B64" s="52" t="s">
        <v>55</v>
      </c>
      <c r="C64" s="53">
        <f>C31</f>
        <v>25.827597879999999</v>
      </c>
      <c r="D64" s="53">
        <f t="shared" ref="D64:H64" si="14">D31</f>
        <v>1.29242002</v>
      </c>
      <c r="E64" s="53">
        <f t="shared" si="14"/>
        <v>131.52221933999999</v>
      </c>
      <c r="F64" s="53">
        <f t="shared" si="14"/>
        <v>69.654726490000002</v>
      </c>
      <c r="G64" s="53">
        <f t="shared" si="14"/>
        <v>75.547680720000002</v>
      </c>
      <c r="H64" s="53">
        <f t="shared" si="14"/>
        <v>34.48931889</v>
      </c>
    </row>
    <row r="65" spans="2:8">
      <c r="B65" s="48" t="s">
        <v>56</v>
      </c>
      <c r="C65" s="51">
        <v>0</v>
      </c>
      <c r="D65" s="51"/>
      <c r="E65" s="51"/>
      <c r="F65" s="51"/>
      <c r="G65" s="51"/>
      <c r="H65" s="51"/>
    </row>
    <row r="66" spans="2:8">
      <c r="B66" s="48" t="s">
        <v>57</v>
      </c>
      <c r="C66" s="51">
        <v>0.71688364000000004</v>
      </c>
      <c r="D66" s="51"/>
      <c r="E66" s="51"/>
      <c r="F66" s="51"/>
      <c r="G66" s="51"/>
      <c r="H66" s="51"/>
    </row>
    <row r="67" spans="2:8">
      <c r="B67" s="48" t="s">
        <v>58</v>
      </c>
      <c r="C67" s="51">
        <v>0.37479290999999998</v>
      </c>
      <c r="D67" s="51"/>
      <c r="E67" s="51"/>
      <c r="F67" s="51"/>
      <c r="G67" s="51"/>
      <c r="H67" s="51"/>
    </row>
    <row r="68" spans="2:8">
      <c r="B68" s="43" t="s">
        <v>59</v>
      </c>
      <c r="C68" s="50">
        <v>10.920146539999999</v>
      </c>
      <c r="D68" s="50"/>
      <c r="E68" s="50"/>
      <c r="F68" s="50"/>
      <c r="G68" s="50"/>
    </row>
    <row r="70" spans="2:8" ht="21" customHeight="1">
      <c r="B70" s="156" t="s">
        <v>223</v>
      </c>
      <c r="C70" s="156"/>
      <c r="D70" s="156"/>
      <c r="E70" s="156"/>
      <c r="F70" s="156"/>
      <c r="G70" s="156"/>
    </row>
  </sheetData>
  <mergeCells count="1">
    <mergeCell ref="B70:G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49"/>
  <sheetViews>
    <sheetView showGridLines="0" workbookViewId="0"/>
  </sheetViews>
  <sheetFormatPr defaultColWidth="9" defaultRowHeight="13.8"/>
  <cols>
    <col min="1" max="1" width="9" style="55"/>
    <col min="2" max="2" width="78" style="55" customWidth="1"/>
    <col min="3" max="8" width="14" style="55" customWidth="1"/>
    <col min="9" max="16384" width="9" style="55"/>
  </cols>
  <sheetData>
    <row r="2" spans="2:8" ht="17.399999999999999">
      <c r="B2" s="127" t="s">
        <v>210</v>
      </c>
      <c r="C2" s="127"/>
      <c r="D2" s="127"/>
      <c r="E2" s="127"/>
      <c r="F2" s="127"/>
      <c r="G2" s="127"/>
      <c r="H2" s="131"/>
    </row>
    <row r="3" spans="2:8">
      <c r="B3" s="83" t="s">
        <v>0</v>
      </c>
      <c r="C3" s="84">
        <v>2020</v>
      </c>
      <c r="D3" s="84">
        <f>C3+1</f>
        <v>2021</v>
      </c>
      <c r="E3" s="84">
        <f t="shared" ref="E3:H3" si="0">D3+1</f>
        <v>2022</v>
      </c>
      <c r="F3" s="84">
        <f t="shared" si="0"/>
        <v>2023</v>
      </c>
      <c r="G3" s="84">
        <f t="shared" si="0"/>
        <v>2024</v>
      </c>
      <c r="H3" s="84">
        <f t="shared" si="0"/>
        <v>2025</v>
      </c>
    </row>
    <row r="4" spans="2:8" ht="4.95" customHeight="1">
      <c r="B4" s="46"/>
      <c r="C4" s="47"/>
      <c r="D4" s="47"/>
      <c r="E4" s="47"/>
      <c r="F4" s="47"/>
      <c r="G4" s="47"/>
      <c r="H4" s="47"/>
    </row>
    <row r="5" spans="2:8">
      <c r="B5" s="85" t="s">
        <v>60</v>
      </c>
      <c r="C5" s="86">
        <v>699.60987007999995</v>
      </c>
      <c r="D5" s="86">
        <v>845.45662937999998</v>
      </c>
      <c r="E5" s="86">
        <v>1174.1012280100001</v>
      </c>
      <c r="F5" s="86">
        <v>1362.5214494700001</v>
      </c>
      <c r="G5" s="86">
        <v>1002.15801035</v>
      </c>
      <c r="H5" s="86">
        <v>999.23490328000003</v>
      </c>
    </row>
    <row r="6" spans="2:8">
      <c r="B6" s="87" t="s">
        <v>61</v>
      </c>
      <c r="C6" s="86">
        <v>1.2298639600000001</v>
      </c>
      <c r="D6" s="86">
        <v>-0.74918068999999998</v>
      </c>
      <c r="E6" s="86">
        <v>9.761003E-2</v>
      </c>
      <c r="F6" s="86">
        <v>-5.333632E-2</v>
      </c>
      <c r="G6" s="86">
        <v>0.46086091000000001</v>
      </c>
      <c r="H6" s="86">
        <v>-0.16589166</v>
      </c>
    </row>
    <row r="7" spans="2:8">
      <c r="B7" s="87" t="s">
        <v>62</v>
      </c>
      <c r="C7" s="86">
        <v>0</v>
      </c>
      <c r="D7" s="88" t="s">
        <v>63</v>
      </c>
      <c r="E7" s="88" t="s">
        <v>63</v>
      </c>
      <c r="F7" s="88" t="s">
        <v>63</v>
      </c>
      <c r="G7" s="88" t="s">
        <v>63</v>
      </c>
      <c r="H7" s="88" t="s">
        <v>63</v>
      </c>
    </row>
    <row r="8" spans="2:8">
      <c r="B8" s="55" t="s">
        <v>64</v>
      </c>
      <c r="C8" s="54">
        <v>12.77140885</v>
      </c>
      <c r="D8" s="54">
        <v>22.408546820000002</v>
      </c>
      <c r="E8" s="54">
        <v>25.359661389999999</v>
      </c>
      <c r="F8" s="54">
        <v>8.7646937000000005</v>
      </c>
      <c r="G8" s="54">
        <v>4.18420653</v>
      </c>
      <c r="H8" s="54">
        <v>3.6351162800000001</v>
      </c>
    </row>
    <row r="9" spans="2:8">
      <c r="B9" s="89" t="s">
        <v>65</v>
      </c>
      <c r="C9" s="90">
        <f t="shared" ref="C9:H9" si="1">SUM(C10:C11)</f>
        <v>561.24352083999997</v>
      </c>
      <c r="D9" s="90">
        <f t="shared" si="1"/>
        <v>709.48556654999993</v>
      </c>
      <c r="E9" s="90">
        <f t="shared" si="1"/>
        <v>995.12241853</v>
      </c>
      <c r="F9" s="90">
        <f t="shared" si="1"/>
        <v>1218.86630016</v>
      </c>
      <c r="G9" s="90">
        <f t="shared" si="1"/>
        <v>817.59624301999997</v>
      </c>
      <c r="H9" s="90">
        <f t="shared" si="1"/>
        <v>819.59943709999993</v>
      </c>
    </row>
    <row r="10" spans="2:8">
      <c r="B10" s="91" t="s">
        <v>66</v>
      </c>
      <c r="C10" s="86">
        <v>368.83168802</v>
      </c>
      <c r="D10" s="86">
        <v>503.02100607</v>
      </c>
      <c r="E10" s="86">
        <v>776.99894078</v>
      </c>
      <c r="F10" s="86">
        <v>980.60822561999998</v>
      </c>
      <c r="G10" s="86">
        <v>552.30852887000003</v>
      </c>
      <c r="H10" s="86">
        <v>528.43757883000001</v>
      </c>
    </row>
    <row r="11" spans="2:8">
      <c r="B11" s="91" t="s">
        <v>67</v>
      </c>
      <c r="C11" s="54">
        <v>192.41183282</v>
      </c>
      <c r="D11" s="54">
        <v>206.46456047999999</v>
      </c>
      <c r="E11" s="54">
        <v>218.12347775000001</v>
      </c>
      <c r="F11" s="54">
        <v>238.25807454</v>
      </c>
      <c r="G11" s="54">
        <v>265.28771415</v>
      </c>
      <c r="H11" s="54">
        <v>291.16185826999998</v>
      </c>
    </row>
    <row r="12" spans="2:8">
      <c r="B12" s="89" t="s">
        <v>68</v>
      </c>
      <c r="C12" s="90">
        <f t="shared" ref="C12:H12" si="2">SUM(C13:C14)</f>
        <v>31.740184900000003</v>
      </c>
      <c r="D12" s="90">
        <f t="shared" si="2"/>
        <v>39.230847840000003</v>
      </c>
      <c r="E12" s="90">
        <f t="shared" si="2"/>
        <v>61.989776149999997</v>
      </c>
      <c r="F12" s="90">
        <f t="shared" si="2"/>
        <v>39.555454699999999</v>
      </c>
      <c r="G12" s="90">
        <f t="shared" si="2"/>
        <v>43.138651530000004</v>
      </c>
      <c r="H12" s="90">
        <f t="shared" si="2"/>
        <v>40.361358090000003</v>
      </c>
    </row>
    <row r="13" spans="2:8">
      <c r="B13" s="91" t="s">
        <v>69</v>
      </c>
      <c r="C13" s="86">
        <v>27.489700070000001</v>
      </c>
      <c r="D13" s="86">
        <v>28.224017740000001</v>
      </c>
      <c r="E13" s="86">
        <v>28.567037620000001</v>
      </c>
      <c r="F13" s="86">
        <v>30.00877401</v>
      </c>
      <c r="G13" s="86">
        <v>31.272787820000001</v>
      </c>
      <c r="H13" s="86">
        <v>32.955377540000001</v>
      </c>
    </row>
    <row r="14" spans="2:8">
      <c r="B14" s="91" t="s">
        <v>70</v>
      </c>
      <c r="C14" s="86">
        <v>4.2504848300000004</v>
      </c>
      <c r="D14" s="86">
        <v>11.0068301</v>
      </c>
      <c r="E14" s="86">
        <v>33.422738529999997</v>
      </c>
      <c r="F14" s="86">
        <v>9.5466806900000005</v>
      </c>
      <c r="G14" s="86">
        <v>11.865863709999999</v>
      </c>
      <c r="H14" s="86">
        <v>7.4059805499999998</v>
      </c>
    </row>
    <row r="15" spans="2:8">
      <c r="B15" s="91" t="s">
        <v>71</v>
      </c>
      <c r="C15" s="54">
        <v>-0.89235894000000004</v>
      </c>
      <c r="D15" s="54">
        <v>5.7813639099999996</v>
      </c>
      <c r="E15" s="54">
        <v>28.066402020000002</v>
      </c>
      <c r="F15" s="54">
        <v>3.90199886</v>
      </c>
      <c r="G15" s="54">
        <v>6.14269205</v>
      </c>
      <c r="H15" s="54">
        <v>0.68222389000000005</v>
      </c>
    </row>
    <row r="16" spans="2:8">
      <c r="B16" s="89" t="s">
        <v>72</v>
      </c>
      <c r="C16" s="90">
        <f t="shared" ref="C16:H16" si="3">C17</f>
        <v>19.203883680000001</v>
      </c>
      <c r="D16" s="90">
        <f t="shared" si="3"/>
        <v>13.047315279999999</v>
      </c>
      <c r="E16" s="90">
        <f t="shared" si="3"/>
        <v>13.93365599</v>
      </c>
      <c r="F16" s="90">
        <f t="shared" si="3"/>
        <v>14.23120265</v>
      </c>
      <c r="G16" s="90">
        <f t="shared" si="3"/>
        <v>14.41758641</v>
      </c>
      <c r="H16" s="90">
        <f t="shared" si="3"/>
        <v>17.098231040000002</v>
      </c>
    </row>
    <row r="17" spans="2:8">
      <c r="B17" s="91" t="s">
        <v>73</v>
      </c>
      <c r="C17" s="86">
        <v>19.203883680000001</v>
      </c>
      <c r="D17" s="86">
        <v>13.047315279999999</v>
      </c>
      <c r="E17" s="86">
        <v>13.93365599</v>
      </c>
      <c r="F17" s="86">
        <v>14.23120265</v>
      </c>
      <c r="G17" s="86">
        <v>14.41758641</v>
      </c>
      <c r="H17" s="86">
        <v>17.098231040000002</v>
      </c>
    </row>
    <row r="18" spans="2:8">
      <c r="B18" s="87" t="s">
        <v>74</v>
      </c>
      <c r="C18" s="86">
        <v>33.914363860000002</v>
      </c>
      <c r="D18" s="86">
        <v>38.69663619</v>
      </c>
      <c r="E18" s="86">
        <v>43.991931460000004</v>
      </c>
      <c r="F18" s="86">
        <v>41.26447649</v>
      </c>
      <c r="G18" s="86">
        <v>55.692152710000002</v>
      </c>
      <c r="H18" s="86">
        <v>51.419240619999997</v>
      </c>
    </row>
    <row r="19" spans="2:8">
      <c r="B19" s="87" t="s">
        <v>75</v>
      </c>
      <c r="C19" s="86">
        <v>1.99616408</v>
      </c>
      <c r="D19" s="86">
        <v>1.3327278300000001</v>
      </c>
      <c r="E19" s="86">
        <v>1.2445951200000001</v>
      </c>
      <c r="F19" s="86">
        <v>5.0312355499999999</v>
      </c>
      <c r="G19" s="86">
        <v>5.3374268100000002</v>
      </c>
      <c r="H19" s="86">
        <v>1.45917466</v>
      </c>
    </row>
    <row r="20" spans="2:8">
      <c r="B20" s="91" t="s">
        <v>76</v>
      </c>
      <c r="C20" s="86">
        <v>8.0953929999999993E-2</v>
      </c>
      <c r="D20" s="86">
        <v>7.5716199999999997E-2</v>
      </c>
      <c r="E20" s="86">
        <v>0.1150842</v>
      </c>
      <c r="F20" s="86">
        <v>3.0358680699999998</v>
      </c>
      <c r="G20" s="86">
        <v>3.66867542</v>
      </c>
      <c r="H20" s="86">
        <v>0.32103664999999998</v>
      </c>
    </row>
    <row r="21" spans="2:8">
      <c r="B21" s="87" t="s">
        <v>77</v>
      </c>
      <c r="C21" s="86">
        <v>15.68673531</v>
      </c>
      <c r="D21" s="86">
        <v>8.3725004300000005</v>
      </c>
      <c r="E21" s="86">
        <v>8.4842123300000001</v>
      </c>
      <c r="F21" s="86">
        <v>8.3385356999999996</v>
      </c>
      <c r="G21" s="86">
        <v>7.02428002</v>
      </c>
      <c r="H21" s="86">
        <v>7.4266401100000001</v>
      </c>
    </row>
    <row r="22" spans="2:8">
      <c r="B22" s="91" t="s">
        <v>78</v>
      </c>
      <c r="C22" s="86">
        <v>1.7658550799999999</v>
      </c>
      <c r="D22" s="86">
        <v>0.50800000000000001</v>
      </c>
      <c r="E22" s="88" t="s">
        <v>63</v>
      </c>
      <c r="F22" s="88" t="s">
        <v>63</v>
      </c>
      <c r="G22" s="88" t="s">
        <v>63</v>
      </c>
      <c r="H22" s="88">
        <v>0.58235479999999995</v>
      </c>
    </row>
    <row r="23" spans="2:8">
      <c r="B23" s="87" t="s">
        <v>79</v>
      </c>
      <c r="C23" s="86">
        <v>0.91049712000000005</v>
      </c>
      <c r="D23" s="86">
        <v>0.77564882000000002</v>
      </c>
      <c r="E23" s="86">
        <v>0.22672147000000001</v>
      </c>
      <c r="F23" s="86">
        <v>0.20935233</v>
      </c>
      <c r="G23" s="86">
        <v>0.22352573000000001</v>
      </c>
      <c r="H23" s="86">
        <v>0.49982469000000002</v>
      </c>
    </row>
    <row r="24" spans="2:8">
      <c r="B24" s="91" t="s">
        <v>80</v>
      </c>
      <c r="C24" s="86">
        <v>0.86802937000000002</v>
      </c>
      <c r="D24" s="86">
        <v>0.68358353000000005</v>
      </c>
      <c r="E24" s="86">
        <v>0.22672147000000001</v>
      </c>
      <c r="F24" s="86">
        <v>0.20935233</v>
      </c>
      <c r="G24" s="86">
        <v>0.22352573000000001</v>
      </c>
      <c r="H24" s="86">
        <v>8.5931489999999999E-2</v>
      </c>
    </row>
    <row r="25" spans="2:8">
      <c r="B25" s="87" t="s">
        <v>81</v>
      </c>
      <c r="C25" s="86">
        <v>9.0028780000000003E-2</v>
      </c>
      <c r="D25" s="86">
        <v>0.1014021</v>
      </c>
      <c r="E25" s="86">
        <v>0.22580712999999999</v>
      </c>
      <c r="F25" s="86">
        <v>3.49352369</v>
      </c>
      <c r="G25" s="86">
        <v>3.64093424</v>
      </c>
      <c r="H25" s="86">
        <v>3.1391892700000001</v>
      </c>
    </row>
    <row r="26" spans="2:8">
      <c r="B26" s="55" t="s">
        <v>82</v>
      </c>
      <c r="C26" s="53" t="str">
        <f>IF(ISNUMBER(C27),C27,"n.a.")</f>
        <v>n.a.</v>
      </c>
      <c r="D26" s="53" t="str">
        <f>IF(ISNUMBER(D27),D27,"n.a.")</f>
        <v>n.a.</v>
      </c>
      <c r="E26" s="53" t="str">
        <f>IF(ISNUMBER(E27),E27,"n.a.")</f>
        <v>n.a.</v>
      </c>
      <c r="F26" s="53">
        <f>IF(ISNUMBER(F27),F27,"n.a.")</f>
        <v>5.3626350000000003E-2</v>
      </c>
      <c r="G26" s="53" t="str">
        <f>IF(ISNUMBER(G27),G27,"n.a.")</f>
        <v>n.a.</v>
      </c>
      <c r="H26" s="53" t="s">
        <v>63</v>
      </c>
    </row>
    <row r="27" spans="2:8">
      <c r="B27" s="91" t="s">
        <v>83</v>
      </c>
      <c r="C27" s="88" t="s">
        <v>63</v>
      </c>
      <c r="D27" s="88" t="s">
        <v>63</v>
      </c>
      <c r="E27" s="88" t="s">
        <v>63</v>
      </c>
      <c r="F27" s="86">
        <v>5.3626350000000003E-2</v>
      </c>
      <c r="G27" s="88" t="s">
        <v>63</v>
      </c>
      <c r="H27" s="88" t="s">
        <v>63</v>
      </c>
    </row>
    <row r="28" spans="2:8">
      <c r="B28" s="55" t="s">
        <v>84</v>
      </c>
      <c r="C28" s="54">
        <v>10.18503533</v>
      </c>
      <c r="D28" s="54">
        <v>4.3605244699999997</v>
      </c>
      <c r="E28" s="54">
        <v>14.43523706</v>
      </c>
      <c r="F28" s="92" t="s">
        <v>63</v>
      </c>
      <c r="G28" s="92" t="s">
        <v>63</v>
      </c>
      <c r="H28" s="92">
        <v>10.051219379999999</v>
      </c>
    </row>
    <row r="29" spans="2:8">
      <c r="B29" s="55" t="s">
        <v>85</v>
      </c>
      <c r="C29" s="86">
        <v>11.70231611</v>
      </c>
      <c r="D29" s="86">
        <v>12.817878520000001</v>
      </c>
      <c r="E29" s="86">
        <v>5.78151204</v>
      </c>
      <c r="F29" s="86">
        <v>3.8797808699999998</v>
      </c>
      <c r="G29" s="86">
        <v>3.2375695800000002</v>
      </c>
      <c r="H29" s="86">
        <v>1.25548685</v>
      </c>
    </row>
    <row r="30" spans="2:8">
      <c r="B30" s="91" t="s">
        <v>86</v>
      </c>
      <c r="C30" s="86">
        <v>5.0005460000000002E-2</v>
      </c>
      <c r="D30" s="86">
        <v>0.19521317999999999</v>
      </c>
      <c r="E30" s="86">
        <v>0.19792533000000001</v>
      </c>
      <c r="F30" s="86">
        <v>1.7108491100000001</v>
      </c>
      <c r="G30" s="86">
        <v>1.5469899600000001</v>
      </c>
      <c r="H30" s="86">
        <v>0.70790549000000003</v>
      </c>
    </row>
    <row r="31" spans="2:8">
      <c r="B31" s="91" t="s">
        <v>87</v>
      </c>
      <c r="C31" s="54">
        <v>11.621100999999999</v>
      </c>
      <c r="D31" s="54">
        <v>12.60904</v>
      </c>
      <c r="E31" s="54">
        <v>5.2741280000000001</v>
      </c>
      <c r="F31" s="54">
        <v>1.6739440000000001</v>
      </c>
      <c r="G31" s="54">
        <v>1.219573</v>
      </c>
      <c r="H31" s="54">
        <v>0.08</v>
      </c>
    </row>
    <row r="32" spans="2:8">
      <c r="B32" s="55" t="s">
        <v>88</v>
      </c>
      <c r="C32" s="54">
        <v>14.07510667</v>
      </c>
      <c r="D32" s="54">
        <v>9.8658889399999996</v>
      </c>
      <c r="E32" s="54">
        <v>19.942960370000002</v>
      </c>
      <c r="F32" s="54">
        <v>15.92383482</v>
      </c>
      <c r="G32" s="54">
        <v>27.934296140000001</v>
      </c>
      <c r="H32" s="54">
        <v>19.293574700000001</v>
      </c>
    </row>
    <row r="33" spans="1:8">
      <c r="B33" s="91" t="s">
        <v>89</v>
      </c>
      <c r="C33" s="86">
        <v>14.894855420000001</v>
      </c>
      <c r="D33" s="86">
        <v>13.21975589</v>
      </c>
      <c r="E33" s="88" t="s">
        <v>63</v>
      </c>
      <c r="F33" s="88" t="s">
        <v>63</v>
      </c>
      <c r="G33" s="88" t="s">
        <v>63</v>
      </c>
      <c r="H33" s="88">
        <v>20.300359100000001</v>
      </c>
    </row>
    <row r="34" spans="1:8" ht="4.95" customHeight="1">
      <c r="C34" s="86"/>
      <c r="D34" s="86"/>
      <c r="E34" s="88"/>
      <c r="F34" s="88"/>
      <c r="G34" s="88"/>
      <c r="H34" s="88"/>
    </row>
    <row r="35" spans="1:8">
      <c r="B35" s="89" t="s">
        <v>90</v>
      </c>
      <c r="C35" s="90">
        <f t="shared" ref="C35:H35" si="4">SUM(C5:C8)-C9-C12-C16-C18+SUM(C19,C21,C23,C25)-SUM(C26,C28,C29,C32)</f>
        <v>50.23015678999991</v>
      </c>
      <c r="D35" s="90">
        <f t="shared" si="4"/>
        <v>50.193616900000038</v>
      </c>
      <c r="E35" s="90">
        <f t="shared" si="4"/>
        <v>54.542343879999954</v>
      </c>
      <c r="F35" s="90">
        <f t="shared" si="4"/>
        <v>54.530778080000047</v>
      </c>
      <c r="G35" s="90">
        <f t="shared" si="4"/>
        <v>61.012745199999983</v>
      </c>
      <c r="H35" s="90">
        <f t="shared" si="4"/>
        <v>56.150408850000062</v>
      </c>
    </row>
    <row r="36" spans="1:8">
      <c r="B36" s="87" t="s">
        <v>91</v>
      </c>
      <c r="C36" s="86">
        <v>0.18641948</v>
      </c>
      <c r="D36" s="86">
        <v>0.18754902000000001</v>
      </c>
      <c r="E36" s="86">
        <v>0.22730470999999999</v>
      </c>
      <c r="F36" s="86">
        <v>0.17346142000000001</v>
      </c>
      <c r="G36" s="86">
        <v>0.17042999</v>
      </c>
      <c r="H36" s="86">
        <v>7.2132639999999998E-2</v>
      </c>
    </row>
    <row r="37" spans="1:8">
      <c r="B37" s="87" t="s">
        <v>92</v>
      </c>
      <c r="C37" s="86">
        <v>47</v>
      </c>
      <c r="D37" s="86">
        <v>47</v>
      </c>
      <c r="E37" s="86">
        <v>47</v>
      </c>
      <c r="F37" s="86">
        <v>47</v>
      </c>
      <c r="G37" s="86">
        <v>47</v>
      </c>
      <c r="H37" s="86">
        <v>48.539138110000003</v>
      </c>
    </row>
    <row r="38" spans="1:8">
      <c r="B38" s="89" t="s">
        <v>93</v>
      </c>
      <c r="C38" s="90">
        <f t="shared" ref="C38:H38" si="5">C35-C36-C37</f>
        <v>3.0437373099999121</v>
      </c>
      <c r="D38" s="90">
        <f t="shared" si="5"/>
        <v>3.0060678800000389</v>
      </c>
      <c r="E38" s="90">
        <f t="shared" si="5"/>
        <v>7.315039169999956</v>
      </c>
      <c r="F38" s="90">
        <f t="shared" si="5"/>
        <v>7.3573166600000448</v>
      </c>
      <c r="G38" s="90">
        <f t="shared" si="5"/>
        <v>13.842315209999981</v>
      </c>
      <c r="H38" s="90">
        <f t="shared" si="5"/>
        <v>7.5391381000000592</v>
      </c>
    </row>
    <row r="39" spans="1:8" ht="4.95" customHeight="1">
      <c r="C39" s="53"/>
      <c r="D39" s="53"/>
      <c r="E39" s="53"/>
      <c r="F39" s="53"/>
      <c r="G39" s="53"/>
      <c r="H39" s="53"/>
    </row>
    <row r="40" spans="1:8">
      <c r="B40" s="55" t="s">
        <v>94</v>
      </c>
      <c r="C40" s="53">
        <f t="shared" ref="C40:H40" si="6">C41</f>
        <v>-3.04373731</v>
      </c>
      <c r="D40" s="53">
        <f t="shared" si="6"/>
        <v>-3.0060678799999998</v>
      </c>
      <c r="E40" s="53">
        <f t="shared" si="6"/>
        <v>7.3150391700000004</v>
      </c>
      <c r="F40" s="53">
        <f t="shared" si="6"/>
        <v>7.3573166600000004</v>
      </c>
      <c r="G40" s="53">
        <f t="shared" si="6"/>
        <v>13.842315210000001</v>
      </c>
      <c r="H40" s="53">
        <f t="shared" si="6"/>
        <v>7.5391380999999997</v>
      </c>
    </row>
    <row r="41" spans="1:8">
      <c r="A41" s="91"/>
      <c r="B41" s="91" t="s">
        <v>95</v>
      </c>
      <c r="C41" s="86">
        <v>-3.04373731</v>
      </c>
      <c r="D41" s="86">
        <v>-3.0060678799999998</v>
      </c>
      <c r="E41" s="86">
        <v>7.3150391700000004</v>
      </c>
      <c r="F41" s="86">
        <v>7.3573166600000004</v>
      </c>
      <c r="G41" s="86">
        <v>13.842315210000001</v>
      </c>
      <c r="H41" s="86">
        <v>7.5391380999999997</v>
      </c>
    </row>
    <row r="42" spans="1:8" ht="4.95" customHeight="1">
      <c r="C42" s="86"/>
      <c r="D42" s="86"/>
      <c r="E42" s="86"/>
      <c r="F42" s="86"/>
      <c r="G42" s="86"/>
      <c r="H42" s="86"/>
    </row>
    <row r="43" spans="1:8">
      <c r="B43" s="55" t="s">
        <v>96</v>
      </c>
      <c r="C43" s="53">
        <f t="shared" ref="C43:H43" si="7">C38-ABS(C40)</f>
        <v>-8.7929663550312398E-14</v>
      </c>
      <c r="D43" s="53">
        <f t="shared" si="7"/>
        <v>3.907985046680551E-14</v>
      </c>
      <c r="E43" s="53">
        <f t="shared" si="7"/>
        <v>-4.4408920985006262E-14</v>
      </c>
      <c r="F43" s="53">
        <f t="shared" si="7"/>
        <v>4.4408920985006262E-14</v>
      </c>
      <c r="G43" s="53">
        <f t="shared" si="7"/>
        <v>-1.9539925233402755E-14</v>
      </c>
      <c r="H43" s="53">
        <f t="shared" si="7"/>
        <v>5.9507954119908391E-14</v>
      </c>
    </row>
    <row r="44" spans="1:8">
      <c r="C44" s="93"/>
      <c r="D44" s="93"/>
      <c r="E44" s="93"/>
      <c r="F44" s="93"/>
      <c r="G44" s="93"/>
    </row>
    <row r="45" spans="1:8" ht="13.8" customHeight="1">
      <c r="B45" s="157" t="s">
        <v>208</v>
      </c>
      <c r="C45" s="157"/>
      <c r="D45" s="157"/>
      <c r="E45" s="157"/>
      <c r="F45" s="157"/>
      <c r="G45" s="157"/>
    </row>
    <row r="46" spans="1:8">
      <c r="B46" s="157"/>
      <c r="C46" s="157"/>
      <c r="D46" s="157"/>
      <c r="E46" s="157"/>
      <c r="F46" s="157"/>
      <c r="G46" s="157"/>
    </row>
    <row r="47" spans="1:8">
      <c r="B47" s="52"/>
      <c r="C47" s="94"/>
      <c r="D47" s="94"/>
      <c r="E47" s="94"/>
      <c r="F47" s="94"/>
      <c r="G47" s="94"/>
    </row>
    <row r="49" spans="2:7" ht="21" customHeight="1">
      <c r="B49" s="157"/>
      <c r="C49" s="157"/>
      <c r="D49" s="157"/>
      <c r="E49" s="157"/>
      <c r="F49" s="157"/>
      <c r="G49" s="157"/>
    </row>
  </sheetData>
  <mergeCells count="2">
    <mergeCell ref="B49:G49"/>
    <mergeCell ref="B45:G46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5"/>
  <sheetViews>
    <sheetView showGridLines="0" workbookViewId="0"/>
  </sheetViews>
  <sheetFormatPr defaultColWidth="9" defaultRowHeight="13.8"/>
  <cols>
    <col min="1" max="1" width="9" style="25"/>
    <col min="2" max="2" width="78" style="25" customWidth="1"/>
    <col min="3" max="8" width="14" style="25" customWidth="1"/>
    <col min="9" max="16384" width="9" style="25"/>
  </cols>
  <sheetData>
    <row r="2" spans="2:8" ht="17.399999999999999">
      <c r="B2" s="126" t="s">
        <v>234</v>
      </c>
      <c r="C2" s="126"/>
      <c r="D2" s="126"/>
      <c r="E2" s="126"/>
      <c r="F2" s="126"/>
      <c r="G2" s="126"/>
      <c r="H2" s="130"/>
    </row>
    <row r="3" spans="2:8">
      <c r="B3" s="44" t="s">
        <v>0</v>
      </c>
      <c r="C3" s="45">
        <v>2020</v>
      </c>
      <c r="D3" s="45">
        <f>C3+1</f>
        <v>2021</v>
      </c>
      <c r="E3" s="45">
        <f t="shared" ref="E3:H3" si="0">D3+1</f>
        <v>2022</v>
      </c>
      <c r="F3" s="45">
        <f t="shared" si="0"/>
        <v>2023</v>
      </c>
      <c r="G3" s="45">
        <f t="shared" si="0"/>
        <v>2024</v>
      </c>
      <c r="H3" s="45">
        <f t="shared" si="0"/>
        <v>2025</v>
      </c>
    </row>
    <row r="4" spans="2:8" s="55" customFormat="1" ht="4.95" customHeight="1">
      <c r="B4" s="46"/>
      <c r="C4" s="47"/>
      <c r="D4" s="47"/>
      <c r="E4" s="47"/>
      <c r="F4" s="47"/>
      <c r="G4" s="47"/>
      <c r="H4" s="47"/>
    </row>
    <row r="5" spans="2:8" s="55" customFormat="1">
      <c r="B5" s="91" t="s">
        <v>201</v>
      </c>
      <c r="C5" s="54">
        <v>64.501999999999995</v>
      </c>
      <c r="D5" s="54">
        <v>19.969000000000001</v>
      </c>
      <c r="E5" s="54">
        <v>200.708</v>
      </c>
      <c r="F5" s="54">
        <v>-18.565999999999999</v>
      </c>
      <c r="G5" s="54">
        <v>60.789000000000001</v>
      </c>
      <c r="H5" s="54">
        <v>48.857999999999997</v>
      </c>
    </row>
    <row r="6" spans="2:8">
      <c r="B6" s="91" t="s">
        <v>202</v>
      </c>
      <c r="C6" s="54">
        <v>-6.681</v>
      </c>
      <c r="D6" s="54">
        <v>-25.314</v>
      </c>
      <c r="E6" s="54">
        <v>-14.952999999999999</v>
      </c>
      <c r="F6" s="54">
        <v>-5.5019999999999998</v>
      </c>
      <c r="G6" s="54">
        <v>-5.8780000000000001</v>
      </c>
      <c r="H6" s="54">
        <v>-41.741</v>
      </c>
    </row>
    <row r="7" spans="2:8">
      <c r="B7" s="97" t="s">
        <v>203</v>
      </c>
      <c r="C7" s="98">
        <v>-47.081000000000003</v>
      </c>
      <c r="D7" s="98">
        <v>-47.209000000000003</v>
      </c>
      <c r="E7" s="98">
        <v>-27.507000000000001</v>
      </c>
      <c r="F7" s="98">
        <v>-37.798999999999999</v>
      </c>
      <c r="G7" s="98">
        <v>-49.018000000000001</v>
      </c>
      <c r="H7" s="98">
        <v>-48.174999999999997</v>
      </c>
    </row>
    <row r="8" spans="2:8" ht="4.95" customHeight="1">
      <c r="B8" s="52"/>
      <c r="C8" s="54"/>
      <c r="D8" s="54"/>
      <c r="E8" s="54"/>
      <c r="F8" s="54"/>
      <c r="G8" s="54"/>
      <c r="H8" s="54"/>
    </row>
    <row r="9" spans="2:8">
      <c r="B9" s="43" t="s">
        <v>199</v>
      </c>
      <c r="C9" s="99">
        <f t="shared" ref="C9:H9" si="1">C5+C6+C7</f>
        <v>10.739999999999995</v>
      </c>
      <c r="D9" s="99">
        <f t="shared" si="1"/>
        <v>-52.554000000000002</v>
      </c>
      <c r="E9" s="99">
        <f t="shared" si="1"/>
        <v>158.24799999999999</v>
      </c>
      <c r="F9" s="99">
        <f t="shared" si="1"/>
        <v>-61.866999999999997</v>
      </c>
      <c r="G9" s="99">
        <f t="shared" si="1"/>
        <v>5.8930000000000007</v>
      </c>
      <c r="H9" s="99">
        <f t="shared" si="1"/>
        <v>-41.058</v>
      </c>
    </row>
    <row r="10" spans="2:8">
      <c r="B10" s="43" t="s">
        <v>200</v>
      </c>
      <c r="C10" s="50">
        <v>15.087999999999999</v>
      </c>
      <c r="D10" s="50">
        <v>25.827999999999999</v>
      </c>
      <c r="E10" s="50">
        <v>-26.725999999999999</v>
      </c>
      <c r="F10" s="50">
        <v>131.52199999999999</v>
      </c>
      <c r="G10" s="50">
        <v>69.655000000000001</v>
      </c>
      <c r="H10" s="50">
        <v>75.548000000000002</v>
      </c>
    </row>
    <row r="11" spans="2:8">
      <c r="B11" s="100" t="s">
        <v>100</v>
      </c>
      <c r="C11" s="101">
        <f t="shared" ref="C11:H11" si="2">C10+C9</f>
        <v>25.827999999999996</v>
      </c>
      <c r="D11" s="101">
        <f t="shared" si="2"/>
        <v>-26.726000000000003</v>
      </c>
      <c r="E11" s="101">
        <f t="shared" si="2"/>
        <v>131.52199999999999</v>
      </c>
      <c r="F11" s="101">
        <f t="shared" si="2"/>
        <v>69.655000000000001</v>
      </c>
      <c r="G11" s="101">
        <f t="shared" si="2"/>
        <v>75.548000000000002</v>
      </c>
      <c r="H11" s="101">
        <f t="shared" si="2"/>
        <v>34.49</v>
      </c>
    </row>
    <row r="12" spans="2:8" ht="4.95" customHeight="1">
      <c r="B12" s="55"/>
      <c r="C12" s="102"/>
      <c r="D12" s="102"/>
      <c r="E12" s="102"/>
      <c r="F12" s="102"/>
      <c r="G12" s="102"/>
      <c r="H12" s="102"/>
    </row>
    <row r="13" spans="2:8">
      <c r="B13" s="43" t="s">
        <v>101</v>
      </c>
      <c r="C13" s="99">
        <f t="shared" ref="C13:H13" si="3">C9</f>
        <v>10.739999999999995</v>
      </c>
      <c r="D13" s="99">
        <f t="shared" si="3"/>
        <v>-52.554000000000002</v>
      </c>
      <c r="E13" s="99">
        <f t="shared" si="3"/>
        <v>158.24799999999999</v>
      </c>
      <c r="F13" s="99">
        <f t="shared" si="3"/>
        <v>-61.866999999999997</v>
      </c>
      <c r="G13" s="99">
        <f t="shared" si="3"/>
        <v>5.8930000000000007</v>
      </c>
      <c r="H13" s="99">
        <f t="shared" si="3"/>
        <v>-41.058</v>
      </c>
    </row>
    <row r="15" spans="2:8" ht="21" customHeight="1">
      <c r="B15" s="156" t="s">
        <v>207</v>
      </c>
      <c r="C15" s="156"/>
      <c r="D15" s="156"/>
      <c r="E15" s="156"/>
      <c r="F15" s="156"/>
      <c r="G15" s="156"/>
    </row>
  </sheetData>
  <mergeCells count="1">
    <mergeCell ref="B15:G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8"/>
  <sheetViews>
    <sheetView workbookViewId="0">
      <selection sqref="A1:F1"/>
    </sheetView>
  </sheetViews>
  <sheetFormatPr defaultColWidth="9" defaultRowHeight="13.8"/>
  <cols>
    <col min="1" max="1" width="78" customWidth="1"/>
    <col min="2" max="6" width="14" customWidth="1"/>
  </cols>
  <sheetData>
    <row r="1" spans="1:6" ht="17.399999999999999">
      <c r="A1" s="158" t="s">
        <v>102</v>
      </c>
      <c r="B1" s="158"/>
      <c r="C1" s="158"/>
      <c r="D1" s="158"/>
      <c r="E1" s="158"/>
      <c r="F1" s="158"/>
    </row>
    <row r="2" spans="1:6">
      <c r="A2" s="1" t="s">
        <v>0</v>
      </c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>
      <c r="A3" s="4" t="s">
        <v>1</v>
      </c>
      <c r="B3" s="7">
        <f>B4+B6+B11</f>
        <v>125.70561984999999</v>
      </c>
      <c r="C3" s="7">
        <f>C4+C6+C11</f>
        <v>127.72166000999999</v>
      </c>
      <c r="D3" s="7">
        <f>D4+D6+D11</f>
        <v>129.41884969</v>
      </c>
      <c r="E3" s="7">
        <f>E4+E6+E11</f>
        <v>133.88150763000002</v>
      </c>
      <c r="F3" s="7">
        <f>F4+F6+F11</f>
        <v>145.09673501000003</v>
      </c>
    </row>
    <row r="4" spans="1:6">
      <c r="A4" s="4" t="s">
        <v>2</v>
      </c>
      <c r="B4" s="5">
        <v>4.7337459800000001</v>
      </c>
      <c r="C4" s="5">
        <v>4.7732136500000006</v>
      </c>
      <c r="D4" s="5">
        <v>4.6255637800000002</v>
      </c>
      <c r="E4" s="5">
        <v>4.3563911500000003</v>
      </c>
      <c r="F4" s="5">
        <v>4.2840421500000003</v>
      </c>
    </row>
    <row r="5" spans="1:6">
      <c r="A5" t="s">
        <v>3</v>
      </c>
      <c r="B5" s="3">
        <v>4.7337459800000001</v>
      </c>
      <c r="C5" s="3">
        <v>4.7732136500000006</v>
      </c>
      <c r="D5" s="3">
        <v>4.6255637800000002</v>
      </c>
      <c r="E5" s="3">
        <v>4.3563911500000003</v>
      </c>
      <c r="F5" s="3">
        <v>4.2840421500000003</v>
      </c>
    </row>
    <row r="6" spans="1:6">
      <c r="A6" s="4" t="s">
        <v>6</v>
      </c>
      <c r="B6" s="7">
        <f>B7+B8+B9+B10</f>
        <v>120.94266182999999</v>
      </c>
      <c r="C6" s="7">
        <f>C7+C8+C9+C10</f>
        <v>122.92024022</v>
      </c>
      <c r="D6" s="7">
        <f>D7+D8+D9+D10</f>
        <v>124.76587947</v>
      </c>
      <c r="E6" s="7">
        <f>E7+E8+E9+E10</f>
        <v>129.49831004000001</v>
      </c>
      <c r="F6" s="7">
        <f>F7+F8+F9+F10</f>
        <v>140.78668642000002</v>
      </c>
    </row>
    <row r="7" spans="1:6">
      <c r="A7" t="s">
        <v>7</v>
      </c>
      <c r="B7" s="3">
        <v>8.9197467600000007</v>
      </c>
      <c r="C7" s="3">
        <v>8.7515591700000002</v>
      </c>
      <c r="D7" s="3">
        <v>8.3242948400000003</v>
      </c>
      <c r="E7" s="3">
        <v>8.0553055199999992</v>
      </c>
      <c r="F7" s="3">
        <v>8.0936879200000007</v>
      </c>
    </row>
    <row r="8" spans="1:6">
      <c r="A8" t="s">
        <v>8</v>
      </c>
      <c r="B8" s="3">
        <v>102.9996289</v>
      </c>
      <c r="C8" s="3">
        <v>105.36220389</v>
      </c>
      <c r="D8" s="3">
        <v>106.80660926</v>
      </c>
      <c r="E8" s="3">
        <v>108.93700090999999</v>
      </c>
      <c r="F8" s="3">
        <v>116.85708764</v>
      </c>
    </row>
    <row r="9" spans="1:6">
      <c r="A9" t="s">
        <v>103</v>
      </c>
      <c r="B9" s="3">
        <v>5.4639289500000006</v>
      </c>
      <c r="C9" s="3">
        <v>5.0306708799999997</v>
      </c>
      <c r="D9" s="3">
        <v>5.1712582699999992</v>
      </c>
      <c r="E9" s="3">
        <v>6.5204304200000003</v>
      </c>
      <c r="F9" s="3">
        <v>9.3577417599999997</v>
      </c>
    </row>
    <row r="10" spans="1:6">
      <c r="A10" t="s">
        <v>104</v>
      </c>
      <c r="B10" s="3">
        <v>3.5593572200000003</v>
      </c>
      <c r="C10" s="3">
        <v>3.7758062799999998</v>
      </c>
      <c r="D10" s="3">
        <v>4.4637170999999993</v>
      </c>
      <c r="E10" s="3">
        <v>5.9855731900000002</v>
      </c>
      <c r="F10" s="3">
        <v>6.4781690999999997</v>
      </c>
    </row>
    <row r="11" spans="1:6">
      <c r="A11" s="4" t="s">
        <v>11</v>
      </c>
      <c r="B11" s="7">
        <f>B12+B13</f>
        <v>2.9212040000000002E-2</v>
      </c>
      <c r="C11" s="7">
        <f>C12+C13</f>
        <v>2.8206140000000001E-2</v>
      </c>
      <c r="D11" s="7">
        <f>D12+D13</f>
        <v>2.7406440000000001E-2</v>
      </c>
      <c r="E11" s="7">
        <f>E12+E13</f>
        <v>2.6806440000000001E-2</v>
      </c>
      <c r="F11" s="7">
        <f>F12+F13</f>
        <v>2.6006440000000002E-2</v>
      </c>
    </row>
    <row r="12" spans="1:6">
      <c r="A12" t="s">
        <v>105</v>
      </c>
      <c r="B12" s="3">
        <v>2.5000000000000001E-2</v>
      </c>
      <c r="C12" s="3">
        <v>2.5000000000000001E-2</v>
      </c>
      <c r="D12" s="3">
        <v>2.5000000000000001E-2</v>
      </c>
      <c r="E12" s="3">
        <v>2.5000000000000001E-2</v>
      </c>
      <c r="F12" s="3">
        <v>2.5000000000000001E-2</v>
      </c>
    </row>
    <row r="13" spans="1:6">
      <c r="A13" t="s">
        <v>106</v>
      </c>
      <c r="B13" s="3">
        <v>4.2120400000000002E-3</v>
      </c>
      <c r="C13" s="3">
        <v>3.2061399999999997E-3</v>
      </c>
      <c r="D13" s="3">
        <v>2.4064400000000001E-3</v>
      </c>
      <c r="E13" s="3">
        <v>1.8064400000000001E-3</v>
      </c>
      <c r="F13" s="3">
        <v>1.0064400000000002E-3</v>
      </c>
    </row>
    <row r="14" spans="1:6">
      <c r="A14" s="4" t="s">
        <v>18</v>
      </c>
      <c r="B14" s="7">
        <f>B15+B17</f>
        <v>62.142291710000009</v>
      </c>
      <c r="C14" s="7">
        <f>C15+C17</f>
        <v>69.866130229999996</v>
      </c>
      <c r="D14" s="7">
        <f>D15+D17</f>
        <v>80.332434270000007</v>
      </c>
      <c r="E14" s="7">
        <f>E15+E17</f>
        <v>79.93759519000001</v>
      </c>
      <c r="F14" s="7">
        <f>F15+F17</f>
        <v>89.374230239999989</v>
      </c>
    </row>
    <row r="15" spans="1:6">
      <c r="A15" s="4" t="s">
        <v>19</v>
      </c>
      <c r="B15" s="5">
        <v>3.3015513799999998</v>
      </c>
      <c r="C15" s="5">
        <v>8.9605031699999991</v>
      </c>
      <c r="D15" s="5">
        <v>5.5854652900000001</v>
      </c>
      <c r="E15" s="5">
        <v>5.8646768099999997</v>
      </c>
      <c r="F15" s="5">
        <v>4.9300473</v>
      </c>
    </row>
    <row r="16" spans="1:6">
      <c r="A16" t="s">
        <v>107</v>
      </c>
      <c r="B16" s="3">
        <v>3.1775785600000002</v>
      </c>
      <c r="C16" s="3">
        <v>4.3117116799999993</v>
      </c>
      <c r="D16" s="3">
        <v>5.0529637999999997</v>
      </c>
      <c r="E16" s="3">
        <v>5.2368147499999997</v>
      </c>
      <c r="F16" s="3">
        <v>4.9300473</v>
      </c>
    </row>
    <row r="17" spans="1:6">
      <c r="A17" s="4" t="s">
        <v>23</v>
      </c>
      <c r="B17" s="7">
        <f>B18+B19+B49+B20</f>
        <v>58.84074033000001</v>
      </c>
      <c r="C17" s="7">
        <f>C18+C19+C49+C20</f>
        <v>60.90562706</v>
      </c>
      <c r="D17" s="7">
        <f>D18+D19+D49+D20</f>
        <v>74.746968980000005</v>
      </c>
      <c r="E17" s="7">
        <f>E18+E19+E49+E20</f>
        <v>74.072918380000004</v>
      </c>
      <c r="F17" s="7">
        <f>F18+F19+F49+F20</f>
        <v>84.44418293999999</v>
      </c>
    </row>
    <row r="18" spans="1:6">
      <c r="A18" t="s">
        <v>24</v>
      </c>
      <c r="B18" s="3">
        <v>14.4714565</v>
      </c>
      <c r="C18" s="3">
        <v>20.651175460000001</v>
      </c>
      <c r="D18" s="3">
        <v>7.6909167400000005</v>
      </c>
      <c r="E18" s="3">
        <v>30.79211531</v>
      </c>
      <c r="F18" s="3">
        <v>29.839855979999999</v>
      </c>
    </row>
    <row r="19" spans="1:6">
      <c r="A19" t="s">
        <v>108</v>
      </c>
      <c r="B19" s="3">
        <v>35.144513170000003</v>
      </c>
      <c r="C19" s="3">
        <v>31.727049559999998</v>
      </c>
      <c r="D19" s="3">
        <v>52.813768140000001</v>
      </c>
      <c r="E19" s="3">
        <v>31.37863436</v>
      </c>
      <c r="F19" s="3">
        <v>36.394851590000002</v>
      </c>
    </row>
    <row r="20" spans="1:6">
      <c r="A20" t="s">
        <v>109</v>
      </c>
      <c r="B20" s="3">
        <v>9.2040737799999999</v>
      </c>
      <c r="C20" s="3">
        <v>8.4356980999999998</v>
      </c>
      <c r="D20" s="3">
        <v>14.23279904</v>
      </c>
      <c r="E20" s="3">
        <v>11.897996819999999</v>
      </c>
      <c r="F20" s="3">
        <v>17.330804050000001</v>
      </c>
    </row>
    <row r="21" spans="1:6">
      <c r="A21" s="4" t="s">
        <v>28</v>
      </c>
      <c r="B21" s="5">
        <v>0.43893799999999999</v>
      </c>
      <c r="C21" s="5">
        <v>0.53062186</v>
      </c>
      <c r="D21" s="5">
        <v>0.70186947</v>
      </c>
      <c r="E21" s="5">
        <v>0.72925705000000007</v>
      </c>
      <c r="F21" s="5">
        <v>0.29839532000000002</v>
      </c>
    </row>
    <row r="22" spans="1:6">
      <c r="A22" s="4" t="s">
        <v>29</v>
      </c>
      <c r="B22" s="7">
        <f>B3+B14+B21</f>
        <v>188.28684956000001</v>
      </c>
      <c r="C22" s="7">
        <f>C3+C14+C21</f>
        <v>198.1184121</v>
      </c>
      <c r="D22" s="7">
        <f>D3+D14+D21</f>
        <v>210.45315343000001</v>
      </c>
      <c r="E22" s="7">
        <f>E3+E14+E21</f>
        <v>214.54835987000001</v>
      </c>
      <c r="F22" s="7">
        <f>F3+F14+F21</f>
        <v>234.76936057</v>
      </c>
    </row>
    <row r="23" spans="1:6">
      <c r="A23" s="4" t="s">
        <v>110</v>
      </c>
      <c r="B23" s="5"/>
      <c r="C23" s="5">
        <v>126.94667108</v>
      </c>
      <c r="D23" s="5">
        <v>126.94667108</v>
      </c>
      <c r="E23" s="5">
        <v>126.94667108</v>
      </c>
      <c r="F23" s="5">
        <v>126.94667108</v>
      </c>
    </row>
    <row r="24" spans="1:6">
      <c r="A24" s="4" t="s">
        <v>111</v>
      </c>
      <c r="B24" s="5">
        <v>0.52500000000000002</v>
      </c>
      <c r="C24" s="5">
        <v>0.52500000000000002</v>
      </c>
      <c r="D24" s="5">
        <v>0.52500000000000002</v>
      </c>
      <c r="E24" s="5">
        <v>0.52500000000000002</v>
      </c>
      <c r="F24" s="5">
        <v>0.52500000000000002</v>
      </c>
    </row>
    <row r="25" spans="1:6">
      <c r="A25" t="s">
        <v>112</v>
      </c>
      <c r="B25" s="3">
        <v>0.52500000000000002</v>
      </c>
      <c r="C25" s="3">
        <v>0.52500000000000002</v>
      </c>
      <c r="D25" s="3">
        <v>0.52500000000000002</v>
      </c>
      <c r="E25" s="3">
        <v>0.52500000000000002</v>
      </c>
      <c r="F25" s="3">
        <v>0.52500000000000002</v>
      </c>
    </row>
    <row r="26" spans="1:6">
      <c r="A26" s="4" t="s">
        <v>113</v>
      </c>
      <c r="B26" s="5"/>
      <c r="C26" s="5">
        <v>126.42167108</v>
      </c>
      <c r="D26" s="5">
        <v>126.42167108</v>
      </c>
      <c r="E26" s="5">
        <v>126.42167108</v>
      </c>
      <c r="F26" s="5">
        <v>126.42167108</v>
      </c>
    </row>
    <row r="27" spans="1:6">
      <c r="A27" s="4" t="s">
        <v>114</v>
      </c>
      <c r="B27" s="5"/>
      <c r="C27" s="5"/>
      <c r="D27" s="5"/>
      <c r="E27" s="5"/>
      <c r="F27" s="5">
        <v>0</v>
      </c>
    </row>
    <row r="28" spans="1:6">
      <c r="A28" s="4" t="s">
        <v>37</v>
      </c>
      <c r="B28" s="5"/>
      <c r="C28" s="5">
        <v>1.56484713</v>
      </c>
      <c r="D28" s="5">
        <v>1.4647367199999999</v>
      </c>
      <c r="E28" s="5">
        <v>1.36727833</v>
      </c>
      <c r="F28" s="5">
        <v>1.2721533200000001</v>
      </c>
    </row>
    <row r="29" spans="1:6">
      <c r="A29" s="4" t="s">
        <v>115</v>
      </c>
      <c r="B29" s="5">
        <v>2.5000000000000001E-2</v>
      </c>
      <c r="C29" s="5">
        <v>2.5000000000000001E-2</v>
      </c>
      <c r="D29" s="5">
        <v>2.5000000000000001E-2</v>
      </c>
      <c r="E29" s="5">
        <v>2.5000000000000001E-2</v>
      </c>
      <c r="F29" s="5">
        <v>2.5000000000000001E-2</v>
      </c>
    </row>
    <row r="30" spans="1:6">
      <c r="A30" s="4" t="s">
        <v>116</v>
      </c>
      <c r="B30" s="7">
        <f>B31+B32</f>
        <v>17.63213476</v>
      </c>
      <c r="C30" s="7">
        <f>C31+C32</f>
        <v>22.872134760000002</v>
      </c>
      <c r="D30" s="7">
        <f>D31+D32</f>
        <v>26.17781982</v>
      </c>
      <c r="E30" s="7">
        <f>E31+E32</f>
        <v>26.166819820000001</v>
      </c>
      <c r="F30" s="7">
        <f>F31+F32</f>
        <v>33.41259582</v>
      </c>
    </row>
    <row r="31" spans="1:6">
      <c r="A31" t="s">
        <v>117</v>
      </c>
      <c r="B31" s="3">
        <v>0.35713476</v>
      </c>
      <c r="C31" s="3">
        <v>8.9134759999999993E-2</v>
      </c>
      <c r="D31" s="3">
        <v>5.0819820000000002E-2</v>
      </c>
      <c r="E31" s="3">
        <v>0.28481982</v>
      </c>
      <c r="F31" s="3">
        <v>1.27859582</v>
      </c>
    </row>
    <row r="32" spans="1:6">
      <c r="A32" t="s">
        <v>118</v>
      </c>
      <c r="B32" s="3">
        <v>17.274999999999999</v>
      </c>
      <c r="C32" s="3">
        <v>22.783000000000001</v>
      </c>
      <c r="D32" s="3">
        <v>26.126999999999999</v>
      </c>
      <c r="E32" s="3">
        <v>25.882000000000001</v>
      </c>
      <c r="F32" s="3">
        <v>32.134</v>
      </c>
    </row>
    <row r="33" spans="1:6">
      <c r="A33" s="4" t="s">
        <v>119</v>
      </c>
      <c r="B33" s="7">
        <f>B34+B36+B38+B40+B42</f>
        <v>7.2024468000000006</v>
      </c>
      <c r="C33" s="7">
        <f>C34+C36+C38+C40+C42</f>
        <v>11.160403640000002</v>
      </c>
      <c r="D33" s="7">
        <f>D34+D36+D38+D40+D42</f>
        <v>18.967792319999997</v>
      </c>
      <c r="E33" s="7">
        <f>E34+E36+E38+E40+E42</f>
        <v>20.743556769999998</v>
      </c>
      <c r="F33" s="7">
        <f>F34+F36+F38+F40+F42</f>
        <v>30.363705619999998</v>
      </c>
    </row>
    <row r="34" spans="1:6">
      <c r="A34" t="s">
        <v>120</v>
      </c>
      <c r="B34" s="3">
        <v>0.2278434</v>
      </c>
      <c r="C34" s="3">
        <v>0.11337853000000001</v>
      </c>
      <c r="D34" s="3">
        <v>0.22373154000000001</v>
      </c>
      <c r="E34" s="3">
        <v>0.12385866000000001</v>
      </c>
      <c r="F34" s="3">
        <v>7.865082000000001E-2</v>
      </c>
    </row>
    <row r="35" spans="1:6">
      <c r="A35" t="s">
        <v>46</v>
      </c>
      <c r="B35" s="3"/>
      <c r="C35" s="3">
        <v>0.11337853000000001</v>
      </c>
      <c r="D35" s="3">
        <v>0.22373154000000001</v>
      </c>
      <c r="E35" s="3">
        <v>0.12385866000000001</v>
      </c>
      <c r="F35" s="3">
        <v>7.865082000000001E-2</v>
      </c>
    </row>
    <row r="36" spans="1:6">
      <c r="A36" t="s">
        <v>121</v>
      </c>
      <c r="B36" s="3">
        <v>4.2167105400000002</v>
      </c>
      <c r="C36" s="3">
        <v>8.2888511299999994</v>
      </c>
      <c r="D36" s="3">
        <v>15.540901949999999</v>
      </c>
      <c r="E36" s="3">
        <v>15.407556199999998</v>
      </c>
      <c r="F36" s="3">
        <v>21.997514649999999</v>
      </c>
    </row>
    <row r="37" spans="1:6">
      <c r="A37" t="s">
        <v>46</v>
      </c>
      <c r="B37" s="3"/>
      <c r="C37" s="3">
        <v>0.11337853000000001</v>
      </c>
      <c r="D37" s="3">
        <v>0.22373154000000001</v>
      </c>
      <c r="E37" s="3">
        <v>0.12385866000000001</v>
      </c>
      <c r="F37" s="3">
        <v>7.865082000000001E-2</v>
      </c>
    </row>
    <row r="38" spans="1:6">
      <c r="A38" t="s">
        <v>122</v>
      </c>
      <c r="B38" s="3">
        <v>0.40107139000000003</v>
      </c>
      <c r="C38" s="3">
        <v>0.19725255999999999</v>
      </c>
      <c r="D38" s="3">
        <v>0.28278892</v>
      </c>
      <c r="E38" s="3">
        <v>0.61330337000000001</v>
      </c>
      <c r="F38" s="3">
        <v>0.49066665999999998</v>
      </c>
    </row>
    <row r="39" spans="1:6">
      <c r="A39" t="s">
        <v>46</v>
      </c>
      <c r="B39" s="3"/>
      <c r="C39" s="3">
        <v>0.11337853000000001</v>
      </c>
      <c r="D39" s="3">
        <v>0.22373154000000001</v>
      </c>
      <c r="E39" s="3">
        <v>0.12385866000000001</v>
      </c>
      <c r="F39" s="3">
        <v>7.865082000000001E-2</v>
      </c>
    </row>
    <row r="40" spans="1:6">
      <c r="A40" t="s">
        <v>123</v>
      </c>
      <c r="B40" s="3">
        <v>5.8052399999999997E-3</v>
      </c>
      <c r="C40" s="3">
        <v>9.1703939999999998E-2</v>
      </c>
      <c r="D40" s="3">
        <v>9.48506E-3</v>
      </c>
      <c r="E40" s="3">
        <v>3.5188400000000002E-2</v>
      </c>
      <c r="F40" s="3">
        <v>0.87867131999999992</v>
      </c>
    </row>
    <row r="41" spans="1:6">
      <c r="A41" t="s">
        <v>46</v>
      </c>
      <c r="B41" s="3"/>
      <c r="C41" s="3">
        <v>0.11337853000000001</v>
      </c>
      <c r="D41" s="3">
        <v>0.22373154000000001</v>
      </c>
      <c r="E41" s="3">
        <v>0.12385866000000001</v>
      </c>
      <c r="F41" s="3">
        <v>7.865082000000001E-2</v>
      </c>
    </row>
    <row r="42" spans="1:6">
      <c r="A42" t="s">
        <v>50</v>
      </c>
      <c r="B42" s="3">
        <v>2.3510162299999999</v>
      </c>
      <c r="C42" s="3">
        <v>2.4692174800000002</v>
      </c>
      <c r="D42" s="3">
        <v>2.91088485</v>
      </c>
      <c r="E42" s="3">
        <v>4.56365014</v>
      </c>
      <c r="F42" s="3">
        <v>6.9182021699999998</v>
      </c>
    </row>
    <row r="43" spans="1:6">
      <c r="A43" t="s">
        <v>51</v>
      </c>
      <c r="B43" s="3"/>
      <c r="C43" s="3">
        <v>0.88570395999999996</v>
      </c>
      <c r="D43" s="3">
        <v>1.3007520800000001</v>
      </c>
      <c r="E43" s="3">
        <v>1.9653126599999999</v>
      </c>
      <c r="F43" s="3">
        <v>4.9827133400000001</v>
      </c>
    </row>
    <row r="44" spans="1:6">
      <c r="A44" t="s">
        <v>52</v>
      </c>
      <c r="B44" s="3">
        <v>0.1721356</v>
      </c>
      <c r="C44" s="3">
        <v>0.20670426</v>
      </c>
      <c r="D44" s="3">
        <v>0.21594287000000001</v>
      </c>
      <c r="E44" s="3">
        <v>0.22123923000000001</v>
      </c>
      <c r="F44" s="3">
        <v>0.23562710999999997</v>
      </c>
    </row>
    <row r="45" spans="1:6">
      <c r="A45" t="s">
        <v>46</v>
      </c>
      <c r="B45" s="3"/>
      <c r="C45" s="3">
        <v>0.11337853000000001</v>
      </c>
      <c r="D45" s="3">
        <v>0.22373154000000001</v>
      </c>
      <c r="E45" s="3">
        <v>0.12385866000000001</v>
      </c>
      <c r="F45" s="3">
        <v>7.865082000000001E-2</v>
      </c>
    </row>
    <row r="46" spans="1:6">
      <c r="A46" s="4" t="s">
        <v>124</v>
      </c>
      <c r="B46" s="5">
        <v>0.43893799999999999</v>
      </c>
      <c r="C46" s="5">
        <v>0.53062186</v>
      </c>
      <c r="D46" s="5">
        <v>0.70186947</v>
      </c>
      <c r="E46" s="5">
        <v>0.72925705000000007</v>
      </c>
      <c r="F46" s="5">
        <v>0.29839532000000002</v>
      </c>
    </row>
    <row r="47" spans="1:6">
      <c r="A47" s="4" t="s">
        <v>54</v>
      </c>
      <c r="B47" s="7">
        <f>B23+B28+B29+B30+B33+B46</f>
        <v>25.298519559999999</v>
      </c>
      <c r="C47" s="7">
        <f>C23+C28+C29+C30+C33+C46</f>
        <v>163.09967846999999</v>
      </c>
      <c r="D47" s="7">
        <f>D23+D28+D29+D30+D33+D46</f>
        <v>174.28388941</v>
      </c>
      <c r="E47" s="7">
        <f>E23+E28+E29+E30+E33+E46</f>
        <v>175.97858305</v>
      </c>
      <c r="F47" s="7">
        <f>F23+F28+F29+F30+F33+F46</f>
        <v>192.31852115999999</v>
      </c>
    </row>
    <row r="48" spans="1:6">
      <c r="A48" t="s">
        <v>125</v>
      </c>
      <c r="B48" s="3">
        <v>0.12397282000000001</v>
      </c>
      <c r="C48" s="3">
        <v>4.6487914899999998</v>
      </c>
      <c r="D48" s="3">
        <v>0.53250149000000002</v>
      </c>
      <c r="E48" s="3"/>
      <c r="F48" s="3"/>
    </row>
    <row r="49" spans="1:6">
      <c r="A49" t="s">
        <v>126</v>
      </c>
      <c r="B49" s="3">
        <v>2.0696880000000001E-2</v>
      </c>
      <c r="C49" s="3">
        <v>9.1703939999999998E-2</v>
      </c>
      <c r="D49" s="3">
        <v>9.48506E-3</v>
      </c>
      <c r="E49" s="3">
        <v>4.1718900000000001E-3</v>
      </c>
      <c r="F49" s="3">
        <v>0.87867131999999992</v>
      </c>
    </row>
    <row r="50" spans="1:6">
      <c r="A50" s="4" t="s">
        <v>127</v>
      </c>
      <c r="B50" s="5">
        <v>126.94667108</v>
      </c>
      <c r="C50" s="5"/>
      <c r="D50" s="5"/>
      <c r="E50" s="5"/>
      <c r="F50" s="5"/>
    </row>
    <row r="51" spans="1:6">
      <c r="A51" s="4" t="s">
        <v>128</v>
      </c>
      <c r="B51" s="5">
        <v>126.42167108</v>
      </c>
      <c r="C51" s="5"/>
      <c r="D51" s="5"/>
      <c r="E51" s="5"/>
      <c r="F51" s="5"/>
    </row>
    <row r="52" spans="1:6">
      <c r="A52" s="4" t="s">
        <v>129</v>
      </c>
      <c r="B52" s="5">
        <v>0.70534753000000006</v>
      </c>
      <c r="C52" s="5"/>
      <c r="D52" s="5"/>
      <c r="E52" s="5"/>
      <c r="F52" s="5"/>
    </row>
    <row r="53" spans="1:6">
      <c r="A53" s="4" t="s">
        <v>130</v>
      </c>
      <c r="B53" s="5">
        <v>0.96280657999999997</v>
      </c>
      <c r="C53" s="5"/>
      <c r="D53" s="5"/>
      <c r="E53" s="5"/>
      <c r="F53" s="5"/>
    </row>
    <row r="54" spans="1:6">
      <c r="A54" t="s">
        <v>59</v>
      </c>
      <c r="B54" s="3">
        <v>0.86799784000000002</v>
      </c>
      <c r="C54" s="3"/>
      <c r="D54" s="3"/>
      <c r="E54" s="3"/>
      <c r="F54" s="3"/>
    </row>
    <row r="55" spans="1:6">
      <c r="A55" s="4" t="s">
        <v>131</v>
      </c>
      <c r="B55" s="5"/>
      <c r="C55" s="5">
        <v>0</v>
      </c>
      <c r="D55" s="5">
        <v>0</v>
      </c>
      <c r="E55" s="5"/>
      <c r="F55" s="5"/>
    </row>
    <row r="56" spans="1:6">
      <c r="A56" t="s">
        <v>132</v>
      </c>
      <c r="B56" s="3"/>
      <c r="C56" s="3"/>
      <c r="D56" s="3"/>
      <c r="E56" s="3">
        <v>0.62786206000000011</v>
      </c>
      <c r="F56" s="3"/>
    </row>
    <row r="58" spans="1:6" ht="21" customHeight="1">
      <c r="A58" s="159" t="s">
        <v>133</v>
      </c>
      <c r="B58" s="159"/>
      <c r="C58" s="159"/>
      <c r="D58" s="159"/>
      <c r="E58" s="159"/>
      <c r="F58" s="159"/>
    </row>
  </sheetData>
  <mergeCells count="2">
    <mergeCell ref="A1:F1"/>
    <mergeCell ref="A58:F5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>
      <selection sqref="A1:F1"/>
    </sheetView>
  </sheetViews>
  <sheetFormatPr defaultColWidth="9" defaultRowHeight="13.8"/>
  <cols>
    <col min="1" max="1" width="78" customWidth="1"/>
    <col min="2" max="6" width="14" customWidth="1"/>
  </cols>
  <sheetData>
    <row r="1" spans="1:6" ht="17.399999999999999">
      <c r="A1" s="160" t="s">
        <v>134</v>
      </c>
      <c r="B1" s="160"/>
      <c r="C1" s="160"/>
      <c r="D1" s="160"/>
      <c r="E1" s="160"/>
      <c r="F1" s="160"/>
    </row>
    <row r="2" spans="1:6">
      <c r="A2" s="15" t="s">
        <v>0</v>
      </c>
      <c r="B2" s="16">
        <v>2020</v>
      </c>
      <c r="C2" s="16">
        <v>2021</v>
      </c>
      <c r="D2" s="16">
        <v>2022</v>
      </c>
      <c r="E2" s="16">
        <v>2023</v>
      </c>
      <c r="F2" s="16">
        <v>2024</v>
      </c>
    </row>
    <row r="3" spans="1:6">
      <c r="A3" s="17" t="s">
        <v>60</v>
      </c>
      <c r="B3" s="18">
        <v>311.44738806999999</v>
      </c>
      <c r="C3" s="18">
        <v>313.00272837</v>
      </c>
      <c r="D3" s="18">
        <v>340.52224151000001</v>
      </c>
      <c r="E3" s="18">
        <v>407.47915949999998</v>
      </c>
      <c r="F3" s="18">
        <v>379.54604484999999</v>
      </c>
    </row>
    <row r="4" spans="1:6">
      <c r="A4" s="17" t="s">
        <v>135</v>
      </c>
      <c r="B4" s="18">
        <v>0.12397282</v>
      </c>
      <c r="C4" s="18">
        <v>4.5248186700000002</v>
      </c>
      <c r="D4" s="18">
        <v>-4.1162900000000002</v>
      </c>
      <c r="E4" s="18">
        <v>9.5360570000000006E-2</v>
      </c>
      <c r="F4" s="18">
        <v>-0.62786206</v>
      </c>
    </row>
    <row r="5" spans="1:6">
      <c r="A5" s="17" t="s">
        <v>62</v>
      </c>
      <c r="B5" s="18">
        <v>1.5355499999999999E-3</v>
      </c>
      <c r="C5" s="18">
        <v>3.24740502</v>
      </c>
      <c r="D5" s="18">
        <v>3.08922271</v>
      </c>
      <c r="E5" s="18">
        <v>3.55835159</v>
      </c>
      <c r="F5" s="18">
        <v>4.7623468500000001</v>
      </c>
    </row>
    <row r="6" spans="1:6">
      <c r="A6" s="17" t="s">
        <v>64</v>
      </c>
      <c r="B6" s="18">
        <v>0.54079390999999999</v>
      </c>
      <c r="C6" s="18">
        <v>0.52708116000000005</v>
      </c>
      <c r="D6" s="18">
        <v>1.5436395599999999</v>
      </c>
      <c r="E6" s="18">
        <v>7.4100787600000002</v>
      </c>
      <c r="F6" s="18">
        <v>7.7102930399999998</v>
      </c>
    </row>
    <row r="7" spans="1:6">
      <c r="A7" s="4" t="s">
        <v>65</v>
      </c>
      <c r="B7" s="7">
        <f>SUM(B8:B9)</f>
        <v>268.00408811</v>
      </c>
      <c r="C7" s="7">
        <f>SUM(C8:C9)</f>
        <v>256.07301258000001</v>
      </c>
      <c r="D7" s="7">
        <f>SUM(D8:D9)</f>
        <v>280.44968535999999</v>
      </c>
      <c r="E7" s="7">
        <f>SUM(E8:E9)</f>
        <v>345.69656853999999</v>
      </c>
      <c r="F7" s="7">
        <f>SUM(F8:F9)</f>
        <v>314.33311149999997</v>
      </c>
    </row>
    <row r="8" spans="1:6">
      <c r="A8" t="s">
        <v>66</v>
      </c>
      <c r="B8" s="3">
        <v>62.808476040000002</v>
      </c>
      <c r="C8" s="3">
        <v>59.777268919999997</v>
      </c>
      <c r="D8" s="3">
        <v>98.561491029999999</v>
      </c>
      <c r="E8" s="3">
        <v>141.51845388999999</v>
      </c>
      <c r="F8" s="3">
        <v>102.72434226999999</v>
      </c>
    </row>
    <row r="9" spans="1:6">
      <c r="A9" t="s">
        <v>67</v>
      </c>
      <c r="B9" s="3">
        <v>205.19561207000001</v>
      </c>
      <c r="C9" s="3">
        <v>196.29574366</v>
      </c>
      <c r="D9" s="3">
        <v>181.88819433</v>
      </c>
      <c r="E9" s="3">
        <v>204.17811465</v>
      </c>
      <c r="F9" s="3">
        <v>211.60876923000001</v>
      </c>
    </row>
    <row r="10" spans="1:6">
      <c r="A10" s="4" t="s">
        <v>68</v>
      </c>
      <c r="B10" s="7">
        <f>SUM(B11:B12)</f>
        <v>40.818904689999997</v>
      </c>
      <c r="C10" s="7">
        <f>SUM(C11:C12)</f>
        <v>47.785298310000002</v>
      </c>
      <c r="D10" s="7">
        <f>SUM(D11:D12)</f>
        <v>53.590664439999998</v>
      </c>
      <c r="E10" s="7">
        <f>SUM(E11:E12)</f>
        <v>45.766175160000003</v>
      </c>
      <c r="F10" s="7">
        <f>SUM(F11:F12)</f>
        <v>47.60998403</v>
      </c>
    </row>
    <row r="11" spans="1:6">
      <c r="A11" t="s">
        <v>69</v>
      </c>
      <c r="B11" s="3">
        <v>29.82797987</v>
      </c>
      <c r="C11" s="3">
        <v>32.225958300000002</v>
      </c>
      <c r="D11" s="3">
        <v>31.802364520000001</v>
      </c>
      <c r="E11" s="3">
        <v>35.434175420000003</v>
      </c>
      <c r="F11" s="3">
        <v>38.204677910000001</v>
      </c>
    </row>
    <row r="12" spans="1:6">
      <c r="A12" t="s">
        <v>70</v>
      </c>
      <c r="B12" s="3">
        <v>10.99092482</v>
      </c>
      <c r="C12" s="3">
        <v>15.55934001</v>
      </c>
      <c r="D12" s="3">
        <v>21.78829992</v>
      </c>
      <c r="E12" s="3">
        <v>10.331999740000001</v>
      </c>
      <c r="F12" s="3">
        <v>9.4053061200000005</v>
      </c>
    </row>
    <row r="13" spans="1:6">
      <c r="A13" t="s">
        <v>71</v>
      </c>
      <c r="B13" s="3">
        <v>5.3089955199999999</v>
      </c>
      <c r="C13" s="3">
        <v>9.2384370499999999</v>
      </c>
      <c r="D13" s="3">
        <v>15.37583772</v>
      </c>
      <c r="E13" s="3">
        <v>3.4082352199999999</v>
      </c>
      <c r="F13" s="3">
        <v>2.06294339</v>
      </c>
    </row>
    <row r="14" spans="1:6">
      <c r="A14" s="4" t="s">
        <v>72</v>
      </c>
      <c r="B14" s="7">
        <f>B15</f>
        <v>1.96925142</v>
      </c>
      <c r="C14" s="7">
        <f>C15</f>
        <v>10.8650231</v>
      </c>
      <c r="D14" s="7">
        <f>D15</f>
        <v>11.32508522</v>
      </c>
      <c r="E14" s="7">
        <f>E15</f>
        <v>11.865353839999999</v>
      </c>
      <c r="F14" s="7">
        <f>F15</f>
        <v>12.76662952</v>
      </c>
    </row>
    <row r="15" spans="1:6">
      <c r="A15" t="s">
        <v>73</v>
      </c>
      <c r="B15" s="3">
        <v>1.96925142</v>
      </c>
      <c r="C15" s="3">
        <v>10.8650231</v>
      </c>
      <c r="D15" s="3">
        <v>11.32508522</v>
      </c>
      <c r="E15" s="3">
        <v>11.865353839999999</v>
      </c>
      <c r="F15" s="3">
        <v>12.76662952</v>
      </c>
    </row>
    <row r="16" spans="1:6">
      <c r="A16" s="17" t="s">
        <v>74</v>
      </c>
      <c r="B16" s="18">
        <v>7.6983374600000003</v>
      </c>
      <c r="C16" s="18">
        <v>8.0627741799999999</v>
      </c>
      <c r="D16" s="18">
        <v>9.3524972599999998</v>
      </c>
      <c r="E16" s="18">
        <v>10.50994571</v>
      </c>
      <c r="F16" s="18">
        <v>10.7284118</v>
      </c>
    </row>
    <row r="17" spans="1:6">
      <c r="A17" s="17" t="s">
        <v>136</v>
      </c>
      <c r="B17" s="18">
        <v>5.1778190000000002E-2</v>
      </c>
      <c r="C17" s="18">
        <v>0.19612075000000001</v>
      </c>
      <c r="D17" s="18">
        <v>0.19314878999999999</v>
      </c>
      <c r="E17" s="18">
        <v>1.5782547</v>
      </c>
      <c r="F17" s="18">
        <v>1.41364497</v>
      </c>
    </row>
    <row r="18" spans="1:6">
      <c r="A18" t="s">
        <v>137</v>
      </c>
      <c r="B18" s="3">
        <v>5.0029280000000002E-2</v>
      </c>
      <c r="C18" s="3">
        <v>0.19521317999999999</v>
      </c>
      <c r="D18" s="3">
        <v>0.18394914000000001</v>
      </c>
      <c r="E18" s="3">
        <v>1.5782547</v>
      </c>
      <c r="F18" s="3">
        <v>1.40390098</v>
      </c>
    </row>
    <row r="19" spans="1:6">
      <c r="A19" s="17" t="s">
        <v>138</v>
      </c>
      <c r="B19" s="18">
        <v>3.083932E-2</v>
      </c>
      <c r="C19" s="18">
        <v>2.0166320000000001E-2</v>
      </c>
      <c r="D19" s="18">
        <v>4.4933670000000002E-2</v>
      </c>
      <c r="E19" s="18">
        <v>4.3408820000000001E-2</v>
      </c>
      <c r="F19" s="18">
        <v>4.9511369999999999E-2</v>
      </c>
    </row>
    <row r="20" spans="1:6">
      <c r="A20" t="s">
        <v>87</v>
      </c>
      <c r="B20" s="3">
        <v>0.03</v>
      </c>
      <c r="C20" s="3">
        <v>0.02</v>
      </c>
      <c r="D20" s="3">
        <v>2.5999999999999999E-2</v>
      </c>
      <c r="E20" s="3">
        <v>4.3408820000000001E-2</v>
      </c>
      <c r="F20" s="3">
        <v>4.8000000000000001E-2</v>
      </c>
    </row>
    <row r="21" spans="1:6">
      <c r="A21" s="17" t="s">
        <v>139</v>
      </c>
      <c r="B21" s="18">
        <v>3.69023162</v>
      </c>
      <c r="C21" s="18">
        <v>2.90582612</v>
      </c>
      <c r="D21" s="18">
        <v>0.75553435999999996</v>
      </c>
      <c r="E21" s="18">
        <v>3.20182192</v>
      </c>
      <c r="F21" s="18">
        <v>3.9709068900000002</v>
      </c>
    </row>
    <row r="22" spans="1:6">
      <c r="A22" s="4" t="s">
        <v>140</v>
      </c>
      <c r="B22" s="7">
        <f>SUM(B3:B6)-B7-B10-B14-B16+B17-B19-B21</f>
        <v>-10.046184079999982</v>
      </c>
      <c r="C22" s="7">
        <f>SUM(C3:C6)-C7-C10-C14-C16+C17-C19-C21</f>
        <v>-4.2139466400000138</v>
      </c>
      <c r="D22" s="7">
        <f>SUM(D3:D6)-D7-D10-D14-D16+D17-D19-D21</f>
        <v>-14.28643773999999</v>
      </c>
      <c r="E22" s="7">
        <f>SUM(E3:E6)-E7-E10-E14-E16+E17-E19-E21</f>
        <v>3.0379311299999654</v>
      </c>
      <c r="F22" s="7">
        <f>SUM(F3:F6)-F7-F10-F14-F16+F17-F19-F21</f>
        <v>3.3459125400000671</v>
      </c>
    </row>
    <row r="23" spans="1:6">
      <c r="A23" s="17" t="s">
        <v>141</v>
      </c>
      <c r="B23" s="18">
        <v>0.13885125000000001</v>
      </c>
      <c r="C23" s="18">
        <v>0.14657782999999999</v>
      </c>
      <c r="D23" s="18">
        <v>0.14879932000000001</v>
      </c>
      <c r="E23" s="18">
        <v>0.14977281000000001</v>
      </c>
      <c r="F23" s="18">
        <v>0.16430744</v>
      </c>
    </row>
    <row r="24" spans="1:6">
      <c r="A24" s="19" t="s">
        <v>142</v>
      </c>
      <c r="B24" s="20">
        <v>10.18503533</v>
      </c>
      <c r="C24" s="20">
        <v>4.3605244699999997</v>
      </c>
      <c r="D24" s="20">
        <v>14.43523706</v>
      </c>
      <c r="E24" s="21" t="s">
        <v>63</v>
      </c>
      <c r="F24" s="21" t="s">
        <v>63</v>
      </c>
    </row>
    <row r="25" spans="1:6">
      <c r="A25" s="4" t="s">
        <v>143</v>
      </c>
      <c r="B25" s="7">
        <f>B22-B23+SUM(B24)</f>
        <v>1.7763568394002505E-14</v>
      </c>
      <c r="C25" s="7">
        <f>C22-C23+SUM(C24)</f>
        <v>-1.4210854715202004E-14</v>
      </c>
      <c r="D25" s="7">
        <f>D22-D23+SUM(D24)</f>
        <v>0</v>
      </c>
      <c r="E25" s="7">
        <f>E22-E23+SUM(E24)</f>
        <v>2.8881583199999654</v>
      </c>
      <c r="F25" s="7">
        <f>F22-F23+SUM(F24)</f>
        <v>3.1816051000000671</v>
      </c>
    </row>
    <row r="26" spans="1:6">
      <c r="A26" s="19" t="s">
        <v>144</v>
      </c>
      <c r="B26" s="21" t="s">
        <v>63</v>
      </c>
      <c r="C26" s="21" t="s">
        <v>63</v>
      </c>
      <c r="D26" s="21" t="s">
        <v>63</v>
      </c>
      <c r="E26" s="20">
        <v>2.8881583200000001</v>
      </c>
      <c r="F26" s="20">
        <v>3.1816051000000001</v>
      </c>
    </row>
    <row r="27" spans="1:6">
      <c r="A27" s="4" t="s">
        <v>145</v>
      </c>
      <c r="B27" s="7">
        <f>B25-SUM(B26)</f>
        <v>1.7763568394002505E-14</v>
      </c>
      <c r="C27" s="7">
        <f>C25-SUM(C26)</f>
        <v>-1.4210854715202004E-14</v>
      </c>
      <c r="D27" s="7">
        <f>D25-SUM(D26)</f>
        <v>0</v>
      </c>
      <c r="E27" s="7">
        <f>E25-SUM(E26)</f>
        <v>-3.4638958368304884E-14</v>
      </c>
      <c r="F27" s="7">
        <f>F25-SUM(F26)</f>
        <v>6.7057470687359455E-14</v>
      </c>
    </row>
    <row r="28" spans="1:6">
      <c r="B28" s="3"/>
      <c r="C28" s="3"/>
      <c r="D28" s="3"/>
      <c r="E28" s="3"/>
      <c r="F28" s="3"/>
    </row>
    <row r="29" spans="1:6">
      <c r="A29" s="159" t="s">
        <v>146</v>
      </c>
      <c r="B29" s="161"/>
      <c r="C29" s="161"/>
      <c r="D29" s="161"/>
      <c r="E29" s="161"/>
      <c r="F29" s="161"/>
    </row>
    <row r="30" spans="1:6">
      <c r="A30" s="162"/>
      <c r="B30" s="163"/>
      <c r="C30" s="163"/>
      <c r="D30" s="163"/>
      <c r="E30" s="163"/>
      <c r="F30" s="163"/>
    </row>
    <row r="32" spans="1:6" ht="21" customHeight="1">
      <c r="A32" s="159"/>
      <c r="B32" s="159"/>
      <c r="C32" s="159"/>
      <c r="D32" s="159"/>
      <c r="E32" s="159"/>
      <c r="F32" s="159"/>
    </row>
  </sheetData>
  <mergeCells count="3">
    <mergeCell ref="A1:F1"/>
    <mergeCell ref="A32:F32"/>
    <mergeCell ref="A29:F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selection sqref="A1:F1"/>
    </sheetView>
  </sheetViews>
  <sheetFormatPr defaultColWidth="9" defaultRowHeight="13.8"/>
  <cols>
    <col min="1" max="1" width="78" customWidth="1"/>
    <col min="2" max="6" width="14" customWidth="1"/>
  </cols>
  <sheetData>
    <row r="1" spans="1:6" ht="17.399999999999999">
      <c r="A1" s="158" t="s">
        <v>147</v>
      </c>
      <c r="B1" s="158"/>
      <c r="C1" s="158"/>
      <c r="D1" s="158"/>
      <c r="E1" s="158"/>
      <c r="F1" s="158"/>
    </row>
    <row r="2" spans="1:6">
      <c r="A2" s="1" t="s">
        <v>0</v>
      </c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>
      <c r="A3" s="4" t="s">
        <v>97</v>
      </c>
      <c r="B3" s="5">
        <v>14.398</v>
      </c>
      <c r="C3" s="5">
        <v>0.13100000000000001</v>
      </c>
      <c r="D3" s="5">
        <v>-9.5399999999999991</v>
      </c>
      <c r="E3" s="5">
        <v>4.5439999999999996</v>
      </c>
      <c r="F3" s="5">
        <v>14.406000000000001</v>
      </c>
    </row>
    <row r="4" spans="1:6">
      <c r="A4" s="4" t="s">
        <v>98</v>
      </c>
      <c r="B4" s="5">
        <v>-2.0310000000000001</v>
      </c>
      <c r="C4" s="5">
        <v>-9.3030000000000008</v>
      </c>
      <c r="D4" s="5">
        <v>-9.0069999999999997</v>
      </c>
      <c r="E4" s="5">
        <v>-11.005000000000001</v>
      </c>
      <c r="F4" s="5">
        <v>-17.361000000000001</v>
      </c>
    </row>
    <row r="5" spans="1:6">
      <c r="A5" s="4" t="s">
        <v>99</v>
      </c>
      <c r="B5" s="5">
        <v>0</v>
      </c>
      <c r="C5" s="5">
        <v>9.1720000000000006</v>
      </c>
      <c r="D5" s="5">
        <v>18.547000000000001</v>
      </c>
      <c r="E5" s="5">
        <v>6.4610000000000003</v>
      </c>
      <c r="F5" s="5">
        <v>2.9540000000000002</v>
      </c>
    </row>
    <row r="6" spans="1:6">
      <c r="A6" t="s">
        <v>101</v>
      </c>
      <c r="B6" s="6">
        <f>B3+B4+B5</f>
        <v>12.366999999999999</v>
      </c>
      <c r="C6" s="6">
        <f>C3+C4+C5</f>
        <v>0</v>
      </c>
      <c r="D6" s="6">
        <f>D3+D4+D5</f>
        <v>0</v>
      </c>
      <c r="E6" s="6">
        <f>E3+E4+E5</f>
        <v>0</v>
      </c>
      <c r="F6" s="6">
        <f>F3+F4+F5</f>
        <v>-9.9999999999988987E-4</v>
      </c>
    </row>
    <row r="7" spans="1:6">
      <c r="A7" t="s">
        <v>148</v>
      </c>
      <c r="B7" s="3">
        <v>2.028</v>
      </c>
      <c r="C7" s="3">
        <v>0</v>
      </c>
      <c r="D7" s="3">
        <v>0</v>
      </c>
      <c r="E7" s="3">
        <v>0</v>
      </c>
      <c r="F7" s="3">
        <v>0</v>
      </c>
    </row>
    <row r="8" spans="1:6">
      <c r="A8" t="s">
        <v>149</v>
      </c>
      <c r="B8" s="6">
        <f>B7+B6</f>
        <v>14.395</v>
      </c>
      <c r="C8" s="6">
        <f>C7+C6</f>
        <v>0</v>
      </c>
      <c r="D8" s="6">
        <f>D7+D6</f>
        <v>0</v>
      </c>
      <c r="E8" s="6">
        <f>E7+E6</f>
        <v>0</v>
      </c>
      <c r="F8" s="6">
        <f>F7+F6</f>
        <v>-9.9999999999988987E-4</v>
      </c>
    </row>
    <row r="10" spans="1:6" ht="21" customHeight="1">
      <c r="A10" s="159" t="s">
        <v>133</v>
      </c>
      <c r="B10" s="159"/>
      <c r="C10" s="159"/>
      <c r="D10" s="159"/>
      <c r="E10" s="159"/>
      <c r="F10" s="159"/>
    </row>
  </sheetData>
  <mergeCells count="2">
    <mergeCell ref="A1:F1"/>
    <mergeCell ref="A10:F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9"/>
  <sheetViews>
    <sheetView showGridLines="0" workbookViewId="0"/>
  </sheetViews>
  <sheetFormatPr defaultColWidth="9" defaultRowHeight="13.8"/>
  <cols>
    <col min="1" max="1" width="9" style="25"/>
    <col min="2" max="2" width="40.09765625" style="25" bestFit="1" customWidth="1"/>
    <col min="3" max="4" width="6.19921875" style="25" bestFit="1" customWidth="1"/>
    <col min="5" max="6" width="7.09765625" style="25" bestFit="1" customWidth="1"/>
    <col min="7" max="8" width="7.09765625" style="25" customWidth="1"/>
    <col min="9" max="16384" width="9" style="25"/>
  </cols>
  <sheetData>
    <row r="2" spans="2:8" ht="17.399999999999999">
      <c r="B2" s="164" t="s">
        <v>150</v>
      </c>
      <c r="C2" s="164"/>
      <c r="D2" s="164"/>
      <c r="E2" s="164"/>
      <c r="F2" s="164"/>
      <c r="G2" s="164"/>
      <c r="H2" s="130"/>
    </row>
    <row r="3" spans="2:8">
      <c r="B3" s="26" t="s">
        <v>151</v>
      </c>
      <c r="C3" s="27">
        <v>2020</v>
      </c>
      <c r="D3" s="27">
        <v>2021</v>
      </c>
      <c r="E3" s="27">
        <v>2022</v>
      </c>
      <c r="F3" s="27">
        <v>2023</v>
      </c>
      <c r="G3" s="27">
        <v>2024</v>
      </c>
      <c r="H3" s="27">
        <v>2025</v>
      </c>
    </row>
    <row r="4" spans="2:8" ht="4.95" customHeight="1">
      <c r="B4" s="23"/>
      <c r="C4" s="24"/>
      <c r="D4" s="24"/>
      <c r="E4" s="24"/>
      <c r="F4" s="24"/>
      <c r="G4" s="24"/>
    </row>
    <row r="5" spans="2:8">
      <c r="B5" s="103" t="s">
        <v>152</v>
      </c>
      <c r="C5" s="105">
        <f>'EVM GuV'!C5</f>
        <v>699.60987007999995</v>
      </c>
      <c r="D5" s="105">
        <f>'EVM GuV'!D5</f>
        <v>845.45662937999998</v>
      </c>
      <c r="E5" s="105">
        <f>'EVM GuV'!E5</f>
        <v>1174.1012280100001</v>
      </c>
      <c r="F5" s="105">
        <f>'EVM GuV'!F5</f>
        <v>1362.5214494700001</v>
      </c>
      <c r="G5" s="105">
        <f>'EVM GuV'!G5</f>
        <v>1002.15801035</v>
      </c>
      <c r="H5" s="105">
        <f>'EVM GuV'!H5</f>
        <v>999.23490328000003</v>
      </c>
    </row>
    <row r="6" spans="2:8">
      <c r="B6" s="103" t="s">
        <v>153</v>
      </c>
      <c r="C6" s="105">
        <f>'EVM GuV'!C5+SUM('EVM GuV'!C6,'EVM GuV'!C7)</f>
        <v>700.83973403999994</v>
      </c>
      <c r="D6" s="105">
        <f>'EVM GuV'!D5+SUM('EVM GuV'!D6,'EVM GuV'!D7)</f>
        <v>844.70744868999998</v>
      </c>
      <c r="E6" s="105">
        <f>'EVM GuV'!E5+SUM('EVM GuV'!E6,'EVM GuV'!E7)</f>
        <v>1174.1988380400001</v>
      </c>
      <c r="F6" s="105">
        <f>'EVM GuV'!F5+SUM('EVM GuV'!F6,'EVM GuV'!F7)</f>
        <v>1362.4681131500001</v>
      </c>
      <c r="G6" s="105">
        <f>'EVM GuV'!G5+SUM('EVM GuV'!G6,'EVM GuV'!G7)</f>
        <v>1002.61887126</v>
      </c>
      <c r="H6" s="105">
        <f>'EVM GuV'!H5+SUM('EVM GuV'!H6,'EVM GuV'!H7)</f>
        <v>999.06901161999997</v>
      </c>
    </row>
    <row r="7" spans="2:8">
      <c r="B7" s="108" t="s">
        <v>154</v>
      </c>
      <c r="C7" s="109">
        <f>C6-'EVM GuV'!C9</f>
        <v>139.59621319999997</v>
      </c>
      <c r="D7" s="109">
        <f>D6-'EVM GuV'!D9</f>
        <v>135.22188214000005</v>
      </c>
      <c r="E7" s="109">
        <f>E6-'EVM GuV'!E9</f>
        <v>179.07641951000005</v>
      </c>
      <c r="F7" s="109">
        <f>F6-'EVM GuV'!F9</f>
        <v>143.6018129900001</v>
      </c>
      <c r="G7" s="109">
        <f>G6-'EVM GuV'!G9</f>
        <v>185.02262824000002</v>
      </c>
      <c r="H7" s="109">
        <f>H6-'EVM GuV'!H9</f>
        <v>179.46957452000004</v>
      </c>
    </row>
    <row r="8" spans="2:8" ht="4.95" customHeight="1">
      <c r="B8" s="36"/>
      <c r="C8" s="111"/>
      <c r="D8" s="111"/>
      <c r="E8" s="111"/>
      <c r="F8" s="111"/>
      <c r="G8" s="111"/>
      <c r="H8" s="111"/>
    </row>
    <row r="9" spans="2:8">
      <c r="B9" s="112" t="s">
        <v>192</v>
      </c>
      <c r="C9" s="110">
        <f t="shared" ref="C9:H9" si="0">IFERROR(C7/C6,0)</f>
        <v>0.19918421633330596</v>
      </c>
      <c r="D9" s="110">
        <f t="shared" si="0"/>
        <v>0.16008131850820848</v>
      </c>
      <c r="E9" s="110">
        <f t="shared" si="0"/>
        <v>0.15250945045126987</v>
      </c>
      <c r="F9" s="110">
        <f t="shared" si="0"/>
        <v>0.10539829270425674</v>
      </c>
      <c r="G9" s="110">
        <f t="shared" si="0"/>
        <v>0.18453934345708101</v>
      </c>
      <c r="H9" s="110">
        <f t="shared" si="0"/>
        <v>0.17963681430673983</v>
      </c>
    </row>
    <row r="10" spans="2:8">
      <c r="B10" s="108" t="s">
        <v>156</v>
      </c>
      <c r="C10" s="109">
        <f>C6+'EVM GuV'!C8-'EVM GuV'!C9-'EVM GuV'!C12-'EVM GuV'!C18</f>
        <v>86.713073289999897</v>
      </c>
      <c r="D10" s="109">
        <f>D6+'EVM GuV'!D8-'EVM GuV'!D9-'EVM GuV'!D12-'EVM GuV'!D18</f>
        <v>79.702944930000029</v>
      </c>
      <c r="E10" s="109">
        <f>E6+'EVM GuV'!E8-'EVM GuV'!E9-'EVM GuV'!E12-'EVM GuV'!E18</f>
        <v>98.454373289999964</v>
      </c>
      <c r="F10" s="109">
        <f>F6+'EVM GuV'!F8-'EVM GuV'!F9-'EVM GuV'!F12-'EVM GuV'!F18</f>
        <v>71.546575500000046</v>
      </c>
      <c r="G10" s="109">
        <f>G6+'EVM GuV'!G8-'EVM GuV'!G9-'EVM GuV'!G12-'EVM GuV'!G18</f>
        <v>90.376030529999994</v>
      </c>
      <c r="H10" s="109">
        <f>H6+'EVM GuV'!H8-'EVM GuV'!H9-'EVM GuV'!H12-'EVM GuV'!H18</f>
        <v>91.324092090000065</v>
      </c>
    </row>
    <row r="11" spans="2:8" ht="4.95" customHeight="1">
      <c r="B11" s="36"/>
      <c r="C11" s="113"/>
      <c r="D11" s="113"/>
      <c r="E11" s="113"/>
      <c r="F11" s="113"/>
      <c r="G11" s="113"/>
      <c r="H11" s="113"/>
    </row>
    <row r="12" spans="2:8">
      <c r="B12" s="114" t="s">
        <v>157</v>
      </c>
      <c r="C12" s="115">
        <f>C10-'EVM GuV'!C16</f>
        <v>67.509189609999893</v>
      </c>
      <c r="D12" s="115">
        <f>D10-'EVM GuV'!D16</f>
        <v>66.655629650000037</v>
      </c>
      <c r="E12" s="115">
        <f>E10-'EVM GuV'!E16</f>
        <v>84.520717299999959</v>
      </c>
      <c r="F12" s="115">
        <f>F10-'EVM GuV'!F16</f>
        <v>57.315372850000045</v>
      </c>
      <c r="G12" s="115">
        <f>G10-'EVM GuV'!G16</f>
        <v>75.958444119999996</v>
      </c>
      <c r="H12" s="115">
        <f>H10-'EVM GuV'!H16</f>
        <v>74.225861050000063</v>
      </c>
    </row>
    <row r="13" spans="2:8">
      <c r="B13" s="103" t="s">
        <v>158</v>
      </c>
      <c r="C13" s="105">
        <f>'EVM Cashflow'!C5</f>
        <v>64.501999999999995</v>
      </c>
      <c r="D13" s="105">
        <f>'EVM Cashflow'!D5</f>
        <v>19.969000000000001</v>
      </c>
      <c r="E13" s="105">
        <f>'EVM Cashflow'!E5</f>
        <v>200.708</v>
      </c>
      <c r="F13" s="105">
        <f>'EVM Cashflow'!F5</f>
        <v>-18.565999999999999</v>
      </c>
      <c r="G13" s="105">
        <f>'EVM Cashflow'!G5</f>
        <v>60.789000000000001</v>
      </c>
      <c r="H13" s="105">
        <f>'EVM Cashflow'!H5</f>
        <v>48.857999999999997</v>
      </c>
    </row>
    <row r="14" spans="2:8">
      <c r="B14" s="103" t="s">
        <v>159</v>
      </c>
      <c r="C14" s="105">
        <f>'EVM Cashflow'!C6</f>
        <v>-6.681</v>
      </c>
      <c r="D14" s="105">
        <f>'EVM Cashflow'!D6</f>
        <v>-25.314</v>
      </c>
      <c r="E14" s="105">
        <f>'EVM Cashflow'!E6</f>
        <v>-14.952999999999999</v>
      </c>
      <c r="F14" s="105">
        <f>'EVM Cashflow'!F6</f>
        <v>-5.5019999999999998</v>
      </c>
      <c r="G14" s="105">
        <f>'EVM Cashflow'!G6</f>
        <v>-5.8780000000000001</v>
      </c>
      <c r="H14" s="105">
        <f>'EVM Cashflow'!H6</f>
        <v>-41.741</v>
      </c>
    </row>
    <row r="15" spans="2:8">
      <c r="B15" s="116" t="s">
        <v>160</v>
      </c>
      <c r="C15" s="105">
        <f>'EVM Cashflow'!C7</f>
        <v>-47.081000000000003</v>
      </c>
      <c r="D15" s="105">
        <f>'EVM Cashflow'!D7</f>
        <v>-47.209000000000003</v>
      </c>
      <c r="E15" s="105">
        <f>'EVM Cashflow'!E7</f>
        <v>-27.507000000000001</v>
      </c>
      <c r="F15" s="105">
        <f>'EVM Cashflow'!F7</f>
        <v>-37.798999999999999</v>
      </c>
      <c r="G15" s="105">
        <f>'EVM Cashflow'!G7</f>
        <v>-49.018000000000001</v>
      </c>
      <c r="H15" s="105">
        <f>'EVM Cashflow'!H7</f>
        <v>-48.174999999999997</v>
      </c>
    </row>
    <row r="16" spans="2:8">
      <c r="B16" s="108" t="s">
        <v>204</v>
      </c>
      <c r="C16" s="109">
        <f t="shared" ref="C16:H16" si="1">C13+C14</f>
        <v>57.820999999999998</v>
      </c>
      <c r="D16" s="109">
        <f t="shared" si="1"/>
        <v>-5.3449999999999989</v>
      </c>
      <c r="E16" s="109">
        <f t="shared" si="1"/>
        <v>185.755</v>
      </c>
      <c r="F16" s="109">
        <f t="shared" si="1"/>
        <v>-24.067999999999998</v>
      </c>
      <c r="G16" s="109">
        <f t="shared" si="1"/>
        <v>54.911000000000001</v>
      </c>
      <c r="H16" s="109">
        <f t="shared" si="1"/>
        <v>7.1169999999999973</v>
      </c>
    </row>
    <row r="17" spans="2:8" ht="4.95" customHeight="1">
      <c r="B17" s="36"/>
      <c r="C17" s="111"/>
      <c r="D17" s="111"/>
      <c r="E17" s="111"/>
      <c r="F17" s="111"/>
      <c r="G17" s="111"/>
      <c r="H17" s="111"/>
    </row>
    <row r="18" spans="2:8">
      <c r="B18" s="112" t="s">
        <v>193</v>
      </c>
      <c r="C18" s="110">
        <f>IFERROR('EVM Bilanz'!C35/'EVM Bilanz'!C33,0)</f>
        <v>0.42103780802332724</v>
      </c>
      <c r="D18" s="110">
        <f>IFERROR('EVM Bilanz'!D35/'EVM Bilanz'!D33,0)</f>
        <v>0.37335501017770401</v>
      </c>
      <c r="E18" s="110">
        <f>IFERROR('EVM Bilanz'!E35/'EVM Bilanz'!E33,0)</f>
        <v>0.35337425325886718</v>
      </c>
      <c r="F18" s="110">
        <f>IFERROR('EVM Bilanz'!F35/'EVM Bilanz'!F33,0)</f>
        <v>0.36848118034728355</v>
      </c>
      <c r="G18" s="110">
        <f>IFERROR('EVM Bilanz'!G35/'EVM Bilanz'!G33,0)</f>
        <v>0.37457217054388231</v>
      </c>
      <c r="H18" s="110">
        <f>IFERROR('EVM Bilanz'!H35/'EVM Bilanz'!H33,0)</f>
        <v>0.39108362099358512</v>
      </c>
    </row>
    <row r="19" spans="2:8">
      <c r="B19" s="103" t="s">
        <v>194</v>
      </c>
      <c r="C19" s="105">
        <f>'EVM Bilanz'!C31</f>
        <v>25.827597879999999</v>
      </c>
      <c r="D19" s="105">
        <f>'EVM Bilanz'!D31</f>
        <v>1.29242002</v>
      </c>
      <c r="E19" s="105">
        <f>'EVM Bilanz'!E31</f>
        <v>131.52221933999999</v>
      </c>
      <c r="F19" s="105">
        <f>'EVM Bilanz'!F31</f>
        <v>69.654726490000002</v>
      </c>
      <c r="G19" s="105">
        <f>'EVM Bilanz'!G31</f>
        <v>75.547680720000002</v>
      </c>
      <c r="H19" s="105">
        <f>'EVM Bilanz'!H31</f>
        <v>34.48931889</v>
      </c>
    </row>
    <row r="20" spans="2:8">
      <c r="B20" s="116" t="s">
        <v>195</v>
      </c>
      <c r="C20" s="105">
        <f>'EVM Bilanz'!C29</f>
        <v>19.284357399999998</v>
      </c>
      <c r="D20" s="105">
        <f>'EVM Bilanz'!D29</f>
        <v>12.217938869999999</v>
      </c>
      <c r="E20" s="105">
        <f>'EVM Bilanz'!E29</f>
        <v>11.114513329999999</v>
      </c>
      <c r="F20" s="105">
        <f>'EVM Bilanz'!F29</f>
        <v>16.167012710000002</v>
      </c>
      <c r="G20" s="105">
        <f>'EVM Bilanz'!G29</f>
        <v>15.610880009999999</v>
      </c>
      <c r="H20" s="105">
        <f>'EVM Bilanz'!H29</f>
        <v>13.194712969999999</v>
      </c>
    </row>
    <row r="21" spans="2:8">
      <c r="B21" s="103" t="s">
        <v>196</v>
      </c>
      <c r="C21" s="105">
        <f>N('EVM Bilanz'!C49)</f>
        <v>0</v>
      </c>
      <c r="D21" s="105">
        <f>N('EVM Bilanz'!D49)</f>
        <v>28.018300100000001</v>
      </c>
      <c r="E21" s="105">
        <f>N('EVM Bilanz'!E49)</f>
        <v>20</v>
      </c>
      <c r="F21" s="105">
        <f>N('EVM Bilanz'!F49)</f>
        <v>20</v>
      </c>
      <c r="G21" s="105">
        <f>N('EVM Bilanz'!G49)</f>
        <v>20</v>
      </c>
      <c r="H21" s="105">
        <f>N('EVM Bilanz'!H49)</f>
        <v>20</v>
      </c>
    </row>
    <row r="22" spans="2:8">
      <c r="B22" s="116" t="s">
        <v>197</v>
      </c>
      <c r="C22" s="105">
        <f>'EVM Bilanz'!C45</f>
        <v>133.72777099999999</v>
      </c>
      <c r="D22" s="105">
        <f>'EVM Bilanz'!D45</f>
        <v>145.95630800000001</v>
      </c>
      <c r="E22" s="105">
        <f>'EVM Bilanz'!E45</f>
        <v>172.49049299999999</v>
      </c>
      <c r="F22" s="105">
        <f>'EVM Bilanz'!F45</f>
        <v>171.61949300000001</v>
      </c>
      <c r="G22" s="105">
        <f>'EVM Bilanz'!G45</f>
        <v>171.08042</v>
      </c>
      <c r="H22" s="105">
        <f>'EVM Bilanz'!H45</f>
        <v>163.13324</v>
      </c>
    </row>
    <row r="23" spans="2:8">
      <c r="B23" s="116" t="s">
        <v>198</v>
      </c>
      <c r="C23" s="105">
        <f>'EVM Bilanz'!C55</f>
        <v>85.194546400000007</v>
      </c>
      <c r="D23" s="105">
        <f>'EVM Bilanz'!D55</f>
        <v>88.686813790000002</v>
      </c>
      <c r="E23" s="105">
        <f>'EVM Bilanz'!E55</f>
        <v>119.1509037</v>
      </c>
      <c r="F23" s="105">
        <f>'EVM Bilanz'!F55</f>
        <v>90.634252029999999</v>
      </c>
      <c r="G23" s="105">
        <f>'EVM Bilanz'!G55</f>
        <v>103.51569386</v>
      </c>
      <c r="H23" s="105">
        <f>'EVM Bilanz'!H55</f>
        <v>101.78180879</v>
      </c>
    </row>
    <row r="24" spans="2:8">
      <c r="B24" s="108" t="s">
        <v>163</v>
      </c>
      <c r="C24" s="109">
        <f>C23+C22+C21-C20-C19</f>
        <v>173.81036211999998</v>
      </c>
      <c r="D24" s="109">
        <f t="shared" ref="D24:G24" si="2">D23+D22+D21-D20-D19</f>
        <v>249.15106299999997</v>
      </c>
      <c r="E24" s="109">
        <f t="shared" si="2"/>
        <v>169.00466402999996</v>
      </c>
      <c r="F24" s="109">
        <f t="shared" si="2"/>
        <v>196.43200583000001</v>
      </c>
      <c r="G24" s="109">
        <f t="shared" si="2"/>
        <v>203.43755312999997</v>
      </c>
      <c r="H24" s="109">
        <f t="shared" ref="H24" si="3">H23+H22+H21-H20-H19</f>
        <v>237.23101693000001</v>
      </c>
    </row>
    <row r="25" spans="2:8" s="55" customFormat="1" ht="4.95" customHeight="1">
      <c r="B25" s="36"/>
      <c r="C25" s="111"/>
      <c r="D25" s="111"/>
      <c r="E25" s="111"/>
      <c r="F25" s="111"/>
      <c r="G25" s="111"/>
      <c r="H25" s="111"/>
    </row>
    <row r="26" spans="2:8" s="55" customFormat="1">
      <c r="B26" s="114" t="s">
        <v>164</v>
      </c>
      <c r="C26" s="117">
        <f t="shared" ref="C26:H26" si="4">IFERROR(C24/C10,0)</f>
        <v>2.0044308836652025</v>
      </c>
      <c r="D26" s="117">
        <f t="shared" si="4"/>
        <v>3.125995698387551</v>
      </c>
      <c r="E26" s="117">
        <f t="shared" si="4"/>
        <v>1.716578536660756</v>
      </c>
      <c r="F26" s="117">
        <f t="shared" si="4"/>
        <v>2.7455123387421931</v>
      </c>
      <c r="G26" s="117">
        <f t="shared" si="4"/>
        <v>2.2510122643909396</v>
      </c>
      <c r="H26" s="117">
        <f t="shared" si="4"/>
        <v>2.5976827308199066</v>
      </c>
    </row>
    <row r="27" spans="2:8">
      <c r="B27" s="23" t="s">
        <v>165</v>
      </c>
      <c r="C27" s="105">
        <f>'EVM Capex Revenue'!C7</f>
        <v>29.943999999999999</v>
      </c>
      <c r="D27" s="96">
        <f>'EVM Capex Revenue'!D7</f>
        <v>29.103999999999999</v>
      </c>
      <c r="E27" s="105">
        <f>'EVM Capex Revenue'!E7</f>
        <v>22.864999999999998</v>
      </c>
      <c r="F27" s="105">
        <f>'EVM Capex Revenue'!F7</f>
        <v>27.728000000000002</v>
      </c>
      <c r="G27" s="105">
        <f>'EVM Capex Revenue'!G7</f>
        <v>24.02</v>
      </c>
      <c r="H27" s="105">
        <f>'EVM Capex Revenue'!H7</f>
        <v>43.148000000000003</v>
      </c>
    </row>
    <row r="28" spans="2:8">
      <c r="B28" s="23"/>
      <c r="C28" s="24"/>
      <c r="D28" s="24"/>
      <c r="E28" s="24"/>
      <c r="F28" s="24"/>
      <c r="G28" s="24"/>
    </row>
    <row r="29" spans="2:8">
      <c r="B29" s="23"/>
      <c r="C29" s="24"/>
      <c r="D29" s="24"/>
      <c r="E29" s="24"/>
      <c r="F29" s="24"/>
      <c r="G29" s="24"/>
    </row>
    <row r="30" spans="2:8">
      <c r="B30" s="23"/>
      <c r="C30" s="24"/>
      <c r="D30" s="24"/>
      <c r="E30" s="24"/>
      <c r="F30" s="24"/>
      <c r="G30" s="24"/>
    </row>
    <row r="31" spans="2:8">
      <c r="B31" s="23"/>
      <c r="C31" s="24"/>
      <c r="D31" s="24"/>
      <c r="E31" s="24"/>
      <c r="F31" s="24"/>
      <c r="G31" s="24"/>
    </row>
    <row r="32" spans="2:8">
      <c r="B32" s="23"/>
      <c r="C32" s="24"/>
      <c r="D32" s="24"/>
      <c r="E32" s="24"/>
      <c r="F32" s="24"/>
      <c r="G32" s="24"/>
    </row>
    <row r="33" spans="2:7">
      <c r="B33" s="23"/>
      <c r="C33" s="24"/>
      <c r="D33" s="24"/>
      <c r="E33" s="24"/>
      <c r="F33" s="24"/>
      <c r="G33" s="24"/>
    </row>
    <row r="34" spans="2:7">
      <c r="B34" s="23"/>
      <c r="C34" s="24"/>
      <c r="D34" s="24"/>
      <c r="E34" s="24"/>
      <c r="F34" s="24"/>
      <c r="G34" s="24"/>
    </row>
    <row r="35" spans="2:7">
      <c r="B35" s="23"/>
      <c r="C35" s="24"/>
      <c r="D35" s="24"/>
      <c r="E35" s="24"/>
      <c r="F35" s="24"/>
      <c r="G35" s="24"/>
    </row>
    <row r="36" spans="2:7">
      <c r="B36" s="23"/>
      <c r="C36" s="24"/>
      <c r="D36" s="24"/>
      <c r="E36" s="24"/>
      <c r="F36" s="24"/>
      <c r="G36" s="24"/>
    </row>
    <row r="37" spans="2:7">
      <c r="B37" s="23"/>
      <c r="C37" s="24"/>
      <c r="D37" s="24"/>
      <c r="E37" s="24"/>
      <c r="F37" s="24"/>
      <c r="G37" s="24"/>
    </row>
    <row r="38" spans="2:7">
      <c r="B38" s="23"/>
      <c r="C38" s="24"/>
      <c r="D38" s="24"/>
      <c r="E38" s="24"/>
      <c r="F38" s="24"/>
      <c r="G38" s="24"/>
    </row>
    <row r="39" spans="2:7">
      <c r="B39" s="23"/>
      <c r="C39" s="24"/>
      <c r="D39" s="24"/>
      <c r="E39" s="24"/>
      <c r="F39" s="24"/>
      <c r="G39" s="24"/>
    </row>
    <row r="40" spans="2:7">
      <c r="B40" s="23"/>
      <c r="C40" s="24"/>
      <c r="D40" s="24"/>
      <c r="E40" s="24"/>
      <c r="F40" s="24"/>
      <c r="G40" s="24"/>
    </row>
    <row r="41" spans="2:7">
      <c r="B41" s="23"/>
      <c r="C41" s="24"/>
      <c r="D41" s="24"/>
      <c r="E41" s="24"/>
      <c r="F41" s="24"/>
      <c r="G41" s="24"/>
    </row>
    <row r="42" spans="2:7">
      <c r="B42" s="23"/>
      <c r="C42" s="24"/>
      <c r="D42" s="24"/>
      <c r="E42" s="24"/>
      <c r="F42" s="24"/>
      <c r="G42" s="24"/>
    </row>
    <row r="43" spans="2:7">
      <c r="B43" s="23"/>
      <c r="C43" s="24"/>
      <c r="D43" s="24"/>
      <c r="E43" s="24"/>
      <c r="F43" s="24"/>
      <c r="G43" s="24"/>
    </row>
    <row r="44" spans="2:7">
      <c r="B44" s="23"/>
      <c r="C44" s="24"/>
      <c r="D44" s="24"/>
      <c r="E44" s="24"/>
      <c r="F44" s="24"/>
      <c r="G44" s="24"/>
    </row>
    <row r="45" spans="2:7">
      <c r="B45" s="23"/>
      <c r="C45" s="24"/>
      <c r="D45" s="24"/>
      <c r="E45" s="24"/>
      <c r="F45" s="24"/>
      <c r="G45" s="24"/>
    </row>
    <row r="46" spans="2:7">
      <c r="B46" s="23"/>
      <c r="C46" s="24"/>
      <c r="D46" s="24"/>
      <c r="E46" s="24"/>
      <c r="F46" s="24"/>
      <c r="G46" s="24"/>
    </row>
    <row r="47" spans="2:7">
      <c r="B47" s="23"/>
      <c r="C47" s="24"/>
      <c r="D47" s="24"/>
      <c r="E47" s="24"/>
      <c r="F47" s="24"/>
      <c r="G47" s="24"/>
    </row>
    <row r="48" spans="2:7">
      <c r="B48" s="23"/>
      <c r="C48" s="24"/>
      <c r="D48" s="24"/>
      <c r="E48" s="24"/>
      <c r="F48" s="24"/>
      <c r="G48" s="24"/>
    </row>
    <row r="49" spans="2:7">
      <c r="B49" s="23"/>
      <c r="C49" s="24"/>
      <c r="D49" s="24"/>
      <c r="E49" s="24"/>
      <c r="F49" s="24"/>
      <c r="G49" s="24"/>
    </row>
  </sheetData>
  <mergeCells count="1">
    <mergeCell ref="B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44"/>
  <sheetViews>
    <sheetView showGridLines="0" workbookViewId="0"/>
  </sheetViews>
  <sheetFormatPr defaultColWidth="9" defaultRowHeight="13.8"/>
  <cols>
    <col min="1" max="1" width="9" style="25"/>
    <col min="2" max="2" width="36" style="25" customWidth="1"/>
    <col min="3" max="8" width="13" style="25" customWidth="1"/>
    <col min="9" max="16384" width="9" style="25"/>
  </cols>
  <sheetData>
    <row r="2" spans="2:8" ht="17.399999999999999">
      <c r="B2" s="128" t="s">
        <v>166</v>
      </c>
      <c r="C2" s="128"/>
      <c r="D2" s="128"/>
      <c r="E2" s="128"/>
      <c r="F2" s="128"/>
      <c r="G2" s="128"/>
      <c r="H2" s="128"/>
    </row>
    <row r="3" spans="2:8">
      <c r="B3" s="26" t="s">
        <v>0</v>
      </c>
      <c r="C3" s="27">
        <v>2020</v>
      </c>
      <c r="D3" s="27">
        <v>2021</v>
      </c>
      <c r="E3" s="27">
        <v>2022</v>
      </c>
      <c r="F3" s="27">
        <v>2023</v>
      </c>
      <c r="G3" s="27">
        <v>2024</v>
      </c>
      <c r="H3" s="27">
        <v>2025</v>
      </c>
    </row>
    <row r="4" spans="2:8" ht="4.95" customHeight="1">
      <c r="B4" s="23"/>
      <c r="C4" s="24"/>
      <c r="D4" s="24"/>
      <c r="E4" s="24"/>
      <c r="F4" s="24"/>
      <c r="G4" s="24"/>
      <c r="H4" s="24"/>
    </row>
    <row r="5" spans="2:8">
      <c r="B5" s="123" t="s">
        <v>165</v>
      </c>
      <c r="C5" s="124"/>
      <c r="D5" s="124"/>
      <c r="E5" s="124"/>
      <c r="F5" s="124"/>
      <c r="G5" s="124"/>
      <c r="H5" s="124"/>
    </row>
    <row r="6" spans="2:8" ht="4.95" customHeight="1">
      <c r="B6" s="39"/>
      <c r="C6" s="40"/>
      <c r="D6" s="40"/>
      <c r="E6" s="40"/>
      <c r="F6" s="40"/>
      <c r="G6" s="40"/>
      <c r="H6" s="40"/>
    </row>
    <row r="7" spans="2:8">
      <c r="B7" s="103" t="s">
        <v>167</v>
      </c>
      <c r="C7" s="104">
        <v>29.943999999999999</v>
      </c>
      <c r="D7" s="104">
        <v>29.103999999999999</v>
      </c>
      <c r="E7" s="104">
        <v>22.864999999999998</v>
      </c>
      <c r="F7" s="104">
        <v>27.728000000000002</v>
      </c>
      <c r="G7" s="104">
        <v>24.02</v>
      </c>
      <c r="H7" s="104">
        <v>43.148000000000003</v>
      </c>
    </row>
    <row r="8" spans="2:8">
      <c r="B8" s="103" t="s">
        <v>168</v>
      </c>
      <c r="C8" s="104">
        <v>22.83</v>
      </c>
      <c r="D8" s="104">
        <v>20.155999999999999</v>
      </c>
      <c r="E8" s="104">
        <v>13.787000000000001</v>
      </c>
      <c r="F8" s="104">
        <v>11.747999999999999</v>
      </c>
      <c r="G8" s="104">
        <v>12.105</v>
      </c>
      <c r="H8" s="104">
        <v>21.686</v>
      </c>
    </row>
    <row r="9" spans="2:8">
      <c r="B9" s="103" t="s">
        <v>169</v>
      </c>
      <c r="C9" s="105">
        <f t="shared" ref="C9:H9" si="0">C7-C8</f>
        <v>7.1140000000000008</v>
      </c>
      <c r="D9" s="105">
        <f t="shared" si="0"/>
        <v>8.9480000000000004</v>
      </c>
      <c r="E9" s="105">
        <f t="shared" si="0"/>
        <v>9.0779999999999976</v>
      </c>
      <c r="F9" s="105">
        <f t="shared" si="0"/>
        <v>15.980000000000002</v>
      </c>
      <c r="G9" s="105">
        <f t="shared" si="0"/>
        <v>11.914999999999999</v>
      </c>
      <c r="H9" s="105">
        <f t="shared" si="0"/>
        <v>21.462000000000003</v>
      </c>
    </row>
    <row r="10" spans="2:8">
      <c r="B10" s="23"/>
      <c r="C10" s="106"/>
      <c r="D10" s="106"/>
      <c r="E10" s="106"/>
      <c r="F10" s="106"/>
      <c r="G10" s="106"/>
      <c r="H10" s="106"/>
    </row>
    <row r="11" spans="2:8">
      <c r="B11" s="23"/>
      <c r="C11" s="106"/>
      <c r="D11" s="106"/>
      <c r="E11" s="106"/>
      <c r="F11" s="106"/>
      <c r="G11" s="106"/>
      <c r="H11" s="106"/>
    </row>
    <row r="12" spans="2:8">
      <c r="B12" s="123" t="s">
        <v>170</v>
      </c>
      <c r="C12" s="129"/>
      <c r="D12" s="129"/>
      <c r="E12" s="129"/>
      <c r="F12" s="129"/>
      <c r="G12" s="129"/>
      <c r="H12" s="129"/>
    </row>
    <row r="13" spans="2:8" ht="4.95" customHeight="1">
      <c r="B13" s="39"/>
      <c r="C13" s="107"/>
      <c r="D13" s="107"/>
      <c r="E13" s="107"/>
      <c r="F13" s="107"/>
      <c r="G13" s="107"/>
      <c r="H13" s="107"/>
    </row>
    <row r="14" spans="2:8">
      <c r="B14" s="103" t="s">
        <v>171</v>
      </c>
      <c r="C14" s="104">
        <v>239.596</v>
      </c>
      <c r="D14" s="104">
        <v>339.065</v>
      </c>
      <c r="E14" s="104">
        <v>521.16800000000001</v>
      </c>
      <c r="F14" s="104">
        <v>584.98</v>
      </c>
      <c r="G14" s="104">
        <v>406.21600000000001</v>
      </c>
      <c r="H14" s="104">
        <v>410.83300000000003</v>
      </c>
    </row>
    <row r="15" spans="2:8">
      <c r="B15" s="103" t="s">
        <v>172</v>
      </c>
      <c r="C15" s="104">
        <v>361.50099999999998</v>
      </c>
      <c r="D15" s="104">
        <v>411.89600000000002</v>
      </c>
      <c r="E15" s="104">
        <v>543.90499999999997</v>
      </c>
      <c r="F15" s="104">
        <v>670.13699999999994</v>
      </c>
      <c r="G15" s="104">
        <v>489.07900000000001</v>
      </c>
      <c r="H15" s="104">
        <v>479.68900000000002</v>
      </c>
    </row>
    <row r="16" spans="2:8">
      <c r="B16" s="103" t="s">
        <v>173</v>
      </c>
      <c r="C16" s="104">
        <v>45.664000000000001</v>
      </c>
      <c r="D16" s="104">
        <v>35.188000000000002</v>
      </c>
      <c r="E16" s="104">
        <v>36.094000000000001</v>
      </c>
      <c r="F16" s="104">
        <v>34.804000000000002</v>
      </c>
      <c r="G16" s="104">
        <v>35.548000000000002</v>
      </c>
      <c r="H16" s="104">
        <v>37.341000000000001</v>
      </c>
    </row>
    <row r="17" spans="2:8">
      <c r="B17" s="103" t="s">
        <v>174</v>
      </c>
      <c r="C17" s="104">
        <v>23.324999999999999</v>
      </c>
      <c r="D17" s="104">
        <v>23.17</v>
      </c>
      <c r="E17" s="104">
        <v>23.123999999999999</v>
      </c>
      <c r="F17" s="104">
        <v>24.798999999999999</v>
      </c>
      <c r="G17" s="104">
        <v>28.192</v>
      </c>
      <c r="H17" s="104">
        <v>28.925999999999998</v>
      </c>
    </row>
    <row r="18" spans="2:8">
      <c r="B18" s="103" t="s">
        <v>175</v>
      </c>
      <c r="C18" s="104">
        <v>29.524000000000001</v>
      </c>
      <c r="D18" s="104">
        <v>36.137999999999998</v>
      </c>
      <c r="E18" s="104">
        <v>49.81</v>
      </c>
      <c r="F18" s="104">
        <v>47.801000000000002</v>
      </c>
      <c r="G18" s="104">
        <v>43.122999999999998</v>
      </c>
      <c r="H18" s="104">
        <v>42.445999999999998</v>
      </c>
    </row>
    <row r="19" spans="2:8">
      <c r="B19" s="108" t="s">
        <v>176</v>
      </c>
      <c r="C19" s="109">
        <f t="shared" ref="C19:H19" si="1">SUM(C14:C18)</f>
        <v>699.61</v>
      </c>
      <c r="D19" s="109">
        <f t="shared" si="1"/>
        <v>845.45699999999999</v>
      </c>
      <c r="E19" s="109">
        <f t="shared" si="1"/>
        <v>1174.1009999999999</v>
      </c>
      <c r="F19" s="109">
        <f t="shared" si="1"/>
        <v>1362.521</v>
      </c>
      <c r="G19" s="109">
        <f t="shared" si="1"/>
        <v>1002.1580000000001</v>
      </c>
      <c r="H19" s="109">
        <f t="shared" si="1"/>
        <v>999.23500000000013</v>
      </c>
    </row>
    <row r="20" spans="2:8">
      <c r="B20" s="23"/>
      <c r="C20" s="24"/>
      <c r="D20" s="24"/>
      <c r="E20" s="24"/>
      <c r="F20" s="24"/>
      <c r="G20" s="24"/>
      <c r="H20" s="24"/>
    </row>
    <row r="21" spans="2:8">
      <c r="B21" s="23"/>
      <c r="C21" s="24"/>
      <c r="D21" s="24"/>
      <c r="E21" s="24"/>
      <c r="F21" s="24"/>
      <c r="G21" s="24"/>
      <c r="H21" s="24"/>
    </row>
    <row r="22" spans="2:8">
      <c r="B22" s="123" t="s">
        <v>177</v>
      </c>
      <c r="C22" s="124"/>
      <c r="D22" s="124"/>
      <c r="E22" s="124"/>
      <c r="F22" s="124"/>
      <c r="G22" s="124"/>
      <c r="H22" s="124"/>
    </row>
    <row r="23" spans="2:8" ht="4.95" customHeight="1">
      <c r="B23" s="39"/>
      <c r="C23" s="40"/>
      <c r="D23" s="40"/>
      <c r="E23" s="40"/>
      <c r="F23" s="40"/>
      <c r="G23" s="40"/>
      <c r="H23" s="40"/>
    </row>
    <row r="24" spans="2:8">
      <c r="B24" s="103" t="s">
        <v>171</v>
      </c>
      <c r="C24" s="110">
        <f t="shared" ref="C24:G28" si="2">C14/C$19</f>
        <v>0.34247080516287648</v>
      </c>
      <c r="D24" s="110">
        <f t="shared" si="2"/>
        <v>0.40104345933619334</v>
      </c>
      <c r="E24" s="110">
        <f t="shared" si="2"/>
        <v>0.44388685470841099</v>
      </c>
      <c r="F24" s="110">
        <f t="shared" si="2"/>
        <v>0.42933650196951095</v>
      </c>
      <c r="G24" s="110">
        <f t="shared" si="2"/>
        <v>0.4053412735317185</v>
      </c>
      <c r="H24" s="110">
        <f t="shared" ref="H24" si="3">H14/H$19</f>
        <v>0.41114752785881198</v>
      </c>
    </row>
    <row r="25" spans="2:8">
      <c r="B25" s="103" t="s">
        <v>172</v>
      </c>
      <c r="C25" s="110">
        <f t="shared" si="2"/>
        <v>0.5167178856791641</v>
      </c>
      <c r="D25" s="110">
        <f t="shared" si="2"/>
        <v>0.48718740278926076</v>
      </c>
      <c r="E25" s="110">
        <f t="shared" si="2"/>
        <v>0.46325230963946035</v>
      </c>
      <c r="F25" s="110">
        <f t="shared" si="2"/>
        <v>0.49183608913183718</v>
      </c>
      <c r="G25" s="110">
        <f t="shared" si="2"/>
        <v>0.48802584023676898</v>
      </c>
      <c r="H25" s="110">
        <f t="shared" ref="H25" si="4">H15/H$19</f>
        <v>0.48005624302591476</v>
      </c>
    </row>
    <row r="26" spans="2:8">
      <c r="B26" s="103" t="s">
        <v>173</v>
      </c>
      <c r="C26" s="110">
        <f t="shared" si="2"/>
        <v>6.5270650791155072E-2</v>
      </c>
      <c r="D26" s="110">
        <f t="shared" si="2"/>
        <v>4.1620094221231835E-2</v>
      </c>
      <c r="E26" s="110">
        <f t="shared" si="2"/>
        <v>3.0741818634001678E-2</v>
      </c>
      <c r="F26" s="110">
        <f t="shared" si="2"/>
        <v>2.5543826480472598E-2</v>
      </c>
      <c r="G26" s="110">
        <f t="shared" si="2"/>
        <v>3.5471452605277808E-2</v>
      </c>
      <c r="H26" s="110">
        <f t="shared" ref="H26" si="5">H16/H$19</f>
        <v>3.7369587734616981E-2</v>
      </c>
    </row>
    <row r="27" spans="2:8">
      <c r="B27" s="103" t="s">
        <v>174</v>
      </c>
      <c r="C27" s="110">
        <f t="shared" si="2"/>
        <v>3.3340003716356252E-2</v>
      </c>
      <c r="D27" s="95">
        <f t="shared" si="2"/>
        <v>2.7405296780321178E-2</v>
      </c>
      <c r="E27" s="110">
        <f t="shared" si="2"/>
        <v>1.9695068822869585E-2</v>
      </c>
      <c r="F27" s="110">
        <f t="shared" si="2"/>
        <v>1.8200820391025167E-2</v>
      </c>
      <c r="G27" s="110">
        <f t="shared" si="2"/>
        <v>2.8131292670417238E-2</v>
      </c>
      <c r="H27" s="110">
        <f t="shared" ref="H27" si="6">H17/H$19</f>
        <v>2.8948145331178347E-2</v>
      </c>
    </row>
    <row r="28" spans="2:8">
      <c r="B28" s="103" t="s">
        <v>175</v>
      </c>
      <c r="C28" s="110">
        <f t="shared" si="2"/>
        <v>4.2200654650448109E-2</v>
      </c>
      <c r="D28" s="110">
        <f t="shared" si="2"/>
        <v>4.2743746872992948E-2</v>
      </c>
      <c r="E28" s="110">
        <f t="shared" si="2"/>
        <v>4.2423948195257487E-2</v>
      </c>
      <c r="F28" s="110">
        <f t="shared" si="2"/>
        <v>3.5082762027154081E-2</v>
      </c>
      <c r="G28" s="110">
        <f t="shared" si="2"/>
        <v>4.3030140955817336E-2</v>
      </c>
      <c r="H28" s="110">
        <f t="shared" ref="H28" si="7">H18/H$19</f>
        <v>4.2478496049477843E-2</v>
      </c>
    </row>
    <row r="29" spans="2:8">
      <c r="B29" s="23"/>
      <c r="C29" s="24"/>
      <c r="D29" s="24"/>
      <c r="E29" s="24"/>
      <c r="F29" s="24"/>
      <c r="G29" s="24"/>
      <c r="H29" s="24"/>
    </row>
    <row r="30" spans="2:8">
      <c r="B30" s="23"/>
      <c r="C30" s="24"/>
      <c r="D30" s="24"/>
      <c r="E30" s="24"/>
      <c r="F30" s="24"/>
      <c r="G30" s="24"/>
    </row>
    <row r="31" spans="2:8">
      <c r="B31" s="154" t="s">
        <v>222</v>
      </c>
      <c r="C31" s="155"/>
      <c r="D31" s="155"/>
      <c r="E31" s="155"/>
      <c r="F31" s="155"/>
      <c r="G31" s="155"/>
    </row>
    <row r="32" spans="2:8">
      <c r="B32" s="154"/>
      <c r="C32" s="155"/>
      <c r="D32" s="155"/>
      <c r="E32" s="155"/>
      <c r="F32" s="155"/>
      <c r="G32" s="155"/>
    </row>
    <row r="33" spans="2:7">
      <c r="B33" s="23"/>
      <c r="C33" s="24"/>
      <c r="D33" s="24"/>
      <c r="E33" s="24"/>
      <c r="F33" s="24"/>
      <c r="G33" s="24"/>
    </row>
    <row r="34" spans="2:7">
      <c r="B34" s="23"/>
      <c r="C34" s="24"/>
      <c r="D34" s="24"/>
      <c r="E34" s="24"/>
      <c r="F34" s="24"/>
      <c r="G34" s="24"/>
    </row>
    <row r="35" spans="2:7">
      <c r="B35" s="23"/>
      <c r="C35" s="24"/>
      <c r="D35" s="24"/>
      <c r="E35" s="24"/>
      <c r="F35" s="24"/>
      <c r="G35" s="24"/>
    </row>
    <row r="36" spans="2:7">
      <c r="B36" s="23"/>
      <c r="C36" s="24"/>
      <c r="D36" s="24"/>
      <c r="E36" s="24"/>
      <c r="F36" s="24"/>
      <c r="G36" s="24"/>
    </row>
    <row r="37" spans="2:7">
      <c r="B37" s="23"/>
      <c r="C37" s="24"/>
      <c r="D37" s="24"/>
      <c r="E37" s="24"/>
      <c r="F37" s="24"/>
      <c r="G37" s="24"/>
    </row>
    <row r="38" spans="2:7">
      <c r="B38" s="23"/>
      <c r="C38" s="24"/>
      <c r="D38" s="24"/>
      <c r="E38" s="24"/>
      <c r="F38" s="24"/>
      <c r="G38" s="24"/>
    </row>
    <row r="39" spans="2:7">
      <c r="B39" s="23"/>
      <c r="C39" s="24"/>
      <c r="D39" s="24"/>
      <c r="E39" s="24"/>
      <c r="F39" s="24"/>
      <c r="G39" s="24"/>
    </row>
    <row r="40" spans="2:7">
      <c r="B40" s="23"/>
      <c r="C40" s="24"/>
      <c r="D40" s="24"/>
      <c r="E40" s="24"/>
      <c r="F40" s="24"/>
      <c r="G40" s="24"/>
    </row>
    <row r="41" spans="2:7">
      <c r="B41" s="23"/>
      <c r="C41" s="24"/>
      <c r="D41" s="24"/>
      <c r="E41" s="24"/>
      <c r="F41" s="24"/>
      <c r="G41" s="24"/>
    </row>
    <row r="42" spans="2:7">
      <c r="B42" s="23"/>
      <c r="C42" s="24"/>
      <c r="D42" s="24"/>
      <c r="E42" s="24"/>
      <c r="F42" s="24"/>
      <c r="G42" s="24"/>
    </row>
    <row r="43" spans="2:7">
      <c r="B43" s="23"/>
      <c r="C43" s="24"/>
      <c r="D43" s="24"/>
      <c r="E43" s="24"/>
      <c r="F43" s="24"/>
      <c r="G43" s="24"/>
    </row>
    <row r="44" spans="2:7">
      <c r="B44" s="23"/>
      <c r="C44" s="24"/>
      <c r="D44" s="24"/>
      <c r="E44" s="24"/>
      <c r="F44" s="24"/>
      <c r="G44" s="24"/>
    </row>
  </sheetData>
  <mergeCells count="1">
    <mergeCell ref="B31:G3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A681-A86D-4560-8AC4-C513EC9F3F63}">
  <dimension ref="A2:K19"/>
  <sheetViews>
    <sheetView showGridLines="0" workbookViewId="0"/>
  </sheetViews>
  <sheetFormatPr defaultRowHeight="13.8"/>
  <cols>
    <col min="1" max="1" width="8.796875" style="25"/>
    <col min="2" max="2" width="23.3984375" style="25" customWidth="1"/>
    <col min="3" max="5" width="13.8984375" style="25" customWidth="1"/>
    <col min="6" max="16384" width="8.796875" style="25"/>
  </cols>
  <sheetData>
    <row r="2" spans="1:11" ht="17.399999999999999">
      <c r="A2" s="137"/>
      <c r="B2" s="136" t="s">
        <v>225</v>
      </c>
      <c r="C2" s="138"/>
      <c r="D2" s="138"/>
      <c r="E2" s="138"/>
      <c r="F2" s="139"/>
      <c r="G2" s="139"/>
      <c r="H2" s="139"/>
      <c r="I2" s="140"/>
      <c r="J2" s="140"/>
      <c r="K2" s="140"/>
    </row>
    <row r="3" spans="1:11">
      <c r="A3" s="137"/>
      <c r="B3" s="142" t="s">
        <v>229</v>
      </c>
      <c r="C3" s="141"/>
      <c r="D3" s="141"/>
      <c r="E3" s="141"/>
      <c r="F3" s="139"/>
      <c r="G3" s="139"/>
      <c r="H3" s="139"/>
      <c r="I3" s="140"/>
      <c r="J3" s="140"/>
      <c r="K3" s="140"/>
    </row>
    <row r="4" spans="1:11">
      <c r="B4" s="25" t="s">
        <v>211</v>
      </c>
      <c r="C4" s="149" t="s">
        <v>212</v>
      </c>
      <c r="D4" s="150" t="s">
        <v>228</v>
      </c>
      <c r="E4" s="149" t="s">
        <v>227</v>
      </c>
    </row>
    <row r="5" spans="1:11">
      <c r="B5" s="25" t="s">
        <v>213</v>
      </c>
      <c r="C5" s="143">
        <v>1217</v>
      </c>
      <c r="D5" s="143">
        <v>776</v>
      </c>
      <c r="E5" s="25">
        <f>+SUM(C5:D5)</f>
        <v>1993</v>
      </c>
    </row>
    <row r="6" spans="1:11">
      <c r="B6" s="25" t="s">
        <v>214</v>
      </c>
      <c r="C6" s="143">
        <v>3227</v>
      </c>
      <c r="D6" s="143">
        <v>2302</v>
      </c>
      <c r="E6" s="25">
        <f>+SUM(C6:D6)</f>
        <v>5529</v>
      </c>
    </row>
    <row r="7" spans="1:11">
      <c r="B7" s="89" t="s">
        <v>226</v>
      </c>
      <c r="C7" s="89">
        <f>+SUM(C5:C6)</f>
        <v>4444</v>
      </c>
      <c r="D7" s="89">
        <f>+SUM(D5:D6)</f>
        <v>3078</v>
      </c>
      <c r="E7" s="89">
        <f>+SUM(C7:D7)</f>
        <v>7522</v>
      </c>
    </row>
    <row r="10" spans="1:11">
      <c r="B10" s="144" t="s">
        <v>230</v>
      </c>
      <c r="C10" s="144"/>
      <c r="D10" s="146"/>
      <c r="E10" s="146"/>
    </row>
    <row r="11" spans="1:11">
      <c r="B11" s="44" t="s">
        <v>229</v>
      </c>
      <c r="C11" s="145"/>
      <c r="D11" s="137"/>
      <c r="E11" s="137"/>
    </row>
    <row r="12" spans="1:11">
      <c r="B12" s="25" t="s">
        <v>215</v>
      </c>
      <c r="C12" s="149" t="s">
        <v>216</v>
      </c>
    </row>
    <row r="13" spans="1:11">
      <c r="B13" s="25" t="s">
        <v>217</v>
      </c>
      <c r="C13" s="147">
        <v>919.57</v>
      </c>
    </row>
    <row r="14" spans="1:11">
      <c r="B14" s="25" t="s">
        <v>218</v>
      </c>
      <c r="C14" s="147">
        <v>2504.88</v>
      </c>
    </row>
    <row r="15" spans="1:11">
      <c r="B15" s="25" t="s">
        <v>219</v>
      </c>
      <c r="C15" s="147">
        <v>2750.62</v>
      </c>
    </row>
    <row r="16" spans="1:11">
      <c r="B16" s="89" t="s">
        <v>231</v>
      </c>
      <c r="C16" s="148">
        <f>+SUM(C13:C15)</f>
        <v>6175.07</v>
      </c>
    </row>
    <row r="18" spans="2:2">
      <c r="B18" s="151" t="s">
        <v>232</v>
      </c>
    </row>
    <row r="19" spans="2:2">
      <c r="B19" s="151" t="s">
        <v>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0"/>
  <sheetViews>
    <sheetView workbookViewId="0">
      <selection sqref="A1:F1"/>
    </sheetView>
  </sheetViews>
  <sheetFormatPr defaultColWidth="9" defaultRowHeight="13.8"/>
  <cols>
    <col min="1" max="1" width="36" customWidth="1"/>
    <col min="2" max="6" width="13" customWidth="1"/>
  </cols>
  <sheetData>
    <row r="1" spans="1:6" ht="17.399999999999999">
      <c r="A1" s="165" t="s">
        <v>178</v>
      </c>
      <c r="B1" s="165"/>
      <c r="C1" s="165"/>
      <c r="D1" s="165"/>
      <c r="E1" s="165"/>
      <c r="F1" s="165"/>
    </row>
    <row r="2" spans="1:6">
      <c r="A2" s="8" t="s">
        <v>179</v>
      </c>
      <c r="B2" s="9">
        <v>2020</v>
      </c>
      <c r="C2" s="9">
        <v>2021</v>
      </c>
      <c r="D2" s="9">
        <v>2022</v>
      </c>
      <c r="E2" s="9">
        <v>2023</v>
      </c>
      <c r="F2" s="9">
        <v>2024</v>
      </c>
    </row>
    <row r="3" spans="1:6">
      <c r="A3" s="10"/>
      <c r="B3" s="11"/>
      <c r="C3" s="11"/>
      <c r="D3" s="11"/>
      <c r="E3" s="11"/>
      <c r="F3" s="11"/>
    </row>
    <row r="4" spans="1:6">
      <c r="A4" s="10" t="s">
        <v>152</v>
      </c>
      <c r="B4" s="12">
        <f>'ENM GuV'!B3</f>
        <v>311.44738806999999</v>
      </c>
      <c r="C4" s="12">
        <f>'ENM GuV'!C3</f>
        <v>313.00272837</v>
      </c>
      <c r="D4" s="12">
        <f>'ENM GuV'!D3</f>
        <v>340.52224151000001</v>
      </c>
      <c r="E4" s="12">
        <f>'ENM GuV'!E3</f>
        <v>407.47915949999998</v>
      </c>
      <c r="F4" s="12">
        <f>'ENM GuV'!F3</f>
        <v>379.54604484999999</v>
      </c>
    </row>
    <row r="5" spans="1:6">
      <c r="A5" s="10" t="s">
        <v>153</v>
      </c>
      <c r="B5" s="12">
        <f>'ENM GuV'!B3+'ENM GuV'!B4+'ENM GuV'!B5</f>
        <v>311.57289644000002</v>
      </c>
      <c r="C5" s="12">
        <f>'ENM GuV'!C3+'ENM GuV'!C4+'ENM GuV'!C5</f>
        <v>320.77495205999998</v>
      </c>
      <c r="D5" s="12">
        <f>'ENM GuV'!D3+'ENM GuV'!D4+'ENM GuV'!D5</f>
        <v>339.49517422000002</v>
      </c>
      <c r="E5" s="12">
        <f>'ENM GuV'!E3+'ENM GuV'!E4+'ENM GuV'!E5</f>
        <v>411.13287165999998</v>
      </c>
      <c r="F5" s="12">
        <f>'ENM GuV'!F3+'ENM GuV'!F4+'ENM GuV'!F5</f>
        <v>383.68052964000003</v>
      </c>
    </row>
    <row r="6" spans="1:6">
      <c r="A6" s="10" t="s">
        <v>154</v>
      </c>
      <c r="B6" s="12">
        <f>B5-'ENM GuV'!B7</f>
        <v>43.568808330000024</v>
      </c>
      <c r="C6" s="12">
        <f>C5-'ENM GuV'!C7</f>
        <v>64.701939479999965</v>
      </c>
      <c r="D6" s="12">
        <f>D5-'ENM GuV'!D7</f>
        <v>59.045488860000034</v>
      </c>
      <c r="E6" s="12">
        <f>E5-'ENM GuV'!E7</f>
        <v>65.436303119999991</v>
      </c>
      <c r="F6" s="12">
        <f>F5-'ENM GuV'!F7</f>
        <v>69.347418140000059</v>
      </c>
    </row>
    <row r="7" spans="1:6">
      <c r="A7" s="10" t="s">
        <v>155</v>
      </c>
      <c r="B7" s="13">
        <f>IFERROR(B6/B5,0)</f>
        <v>0.1398350396578546</v>
      </c>
      <c r="C7" s="13">
        <f>IFERROR(C6/C5,0)</f>
        <v>0.20170508658636682</v>
      </c>
      <c r="D7" s="13">
        <f>IFERROR(D6/D5,0)</f>
        <v>0.17392143789866454</v>
      </c>
      <c r="E7" s="13">
        <f>IFERROR(E6/E5,0)</f>
        <v>0.15916096140839528</v>
      </c>
      <c r="F7" s="13">
        <f>IFERROR(F6/F5,0)</f>
        <v>0.18074260428348396</v>
      </c>
    </row>
    <row r="8" spans="1:6">
      <c r="A8" s="10" t="s">
        <v>156</v>
      </c>
      <c r="B8" s="12">
        <f>B5+'ENM GuV'!B6-'ENM GuV'!B7-'ENM GuV'!B10-'ENM GuV'!B16</f>
        <v>-4.4076399099999817</v>
      </c>
      <c r="C8" s="12">
        <f>C5+'ENM GuV'!C6-'ENM GuV'!C7-'ENM GuV'!C10-'ENM GuV'!C16</f>
        <v>9.3809481499999858</v>
      </c>
      <c r="D8" s="12">
        <f>D5+'ENM GuV'!D6-'ENM GuV'!D7-'ENM GuV'!D10-'ENM GuV'!D16</f>
        <v>-2.3540332799999888</v>
      </c>
      <c r="E8" s="12">
        <f>E5+'ENM GuV'!E6-'ENM GuV'!E7-'ENM GuV'!E10-'ENM GuV'!E16</f>
        <v>16.570261009999964</v>
      </c>
      <c r="F8" s="12">
        <f>F5+'ENM GuV'!F6-'ENM GuV'!F7-'ENM GuV'!F10-'ENM GuV'!F16</f>
        <v>18.71931535000007</v>
      </c>
    </row>
    <row r="9" spans="1:6">
      <c r="A9" s="10" t="s">
        <v>157</v>
      </c>
      <c r="B9" s="12">
        <f>B8-'ENM GuV'!B14</f>
        <v>-6.3768913299999817</v>
      </c>
      <c r="C9" s="12">
        <f>C8-'ENM GuV'!C14</f>
        <v>-1.4840749500000143</v>
      </c>
      <c r="D9" s="12">
        <f>D8-'ENM GuV'!D14</f>
        <v>-13.679118499999989</v>
      </c>
      <c r="E9" s="12">
        <f>E8-'ENM GuV'!E14</f>
        <v>4.7049071699999647</v>
      </c>
      <c r="F9" s="12">
        <f>F8-'ENM GuV'!F14</f>
        <v>5.9526858300000693</v>
      </c>
    </row>
    <row r="10" spans="1:6">
      <c r="A10" s="10" t="s">
        <v>158</v>
      </c>
      <c r="B10" s="12">
        <f>'ENM Cashflow'!B3</f>
        <v>14.398</v>
      </c>
      <c r="C10" s="12">
        <f>'ENM Cashflow'!C3</f>
        <v>0.13100000000000001</v>
      </c>
      <c r="D10" s="12">
        <f>'ENM Cashflow'!D3</f>
        <v>-9.5399999999999991</v>
      </c>
      <c r="E10" s="12">
        <f>'ENM Cashflow'!E3</f>
        <v>4.5439999999999996</v>
      </c>
      <c r="F10" s="12">
        <f>'ENM Cashflow'!F3</f>
        <v>14.406000000000001</v>
      </c>
    </row>
    <row r="11" spans="1:6">
      <c r="A11" s="10" t="s">
        <v>159</v>
      </c>
      <c r="B11" s="12">
        <f>'ENM Cashflow'!B4</f>
        <v>-2.0310000000000001</v>
      </c>
      <c r="C11" s="12">
        <f>'ENM Cashflow'!C4</f>
        <v>-9.3030000000000008</v>
      </c>
      <c r="D11" s="12">
        <f>'ENM Cashflow'!D4</f>
        <v>-9.0069999999999997</v>
      </c>
      <c r="E11" s="12">
        <f>'ENM Cashflow'!E4</f>
        <v>-11.005000000000001</v>
      </c>
      <c r="F11" s="12">
        <f>'ENM Cashflow'!F4</f>
        <v>-17.361000000000001</v>
      </c>
    </row>
    <row r="12" spans="1:6">
      <c r="A12" s="10" t="s">
        <v>160</v>
      </c>
      <c r="B12" s="12">
        <f>B10+B11</f>
        <v>12.366999999999999</v>
      </c>
      <c r="C12" s="12">
        <f>C10+C11</f>
        <v>-9.1720000000000006</v>
      </c>
      <c r="D12" s="12">
        <f>D10+D11</f>
        <v>-18.546999999999997</v>
      </c>
      <c r="E12" s="12">
        <f>E10+E11</f>
        <v>-6.4610000000000012</v>
      </c>
      <c r="F12" s="12">
        <f>F10+F11</f>
        <v>-2.9550000000000001</v>
      </c>
    </row>
    <row r="13" spans="1:6">
      <c r="A13" s="10" t="s">
        <v>162</v>
      </c>
      <c r="B13" s="13">
        <f>'ENM Bilanz'!B23/('ENM Bilanz'!B3+'ENM Bilanz'!B14+'ENM Bilanz'!B21)</f>
        <v>0</v>
      </c>
      <c r="C13" s="13">
        <f>IFERROR('ENM Bilanz'!C23/'ENM Bilanz'!C22,0)</f>
        <v>0.64076160178350228</v>
      </c>
      <c r="D13" s="13">
        <f>IFERROR('ENM Bilanz'!D23/'ENM Bilanz'!D22,0)</f>
        <v>0.60320631461682728</v>
      </c>
      <c r="E13" s="13">
        <f>IFERROR('ENM Bilanz'!E23/'ENM Bilanz'!E22,0)</f>
        <v>0.591692572979444</v>
      </c>
      <c r="F13" s="13">
        <f>IFERROR('ENM Bilanz'!F23/'ENM Bilanz'!F22,0)</f>
        <v>0.54072929607076625</v>
      </c>
    </row>
    <row r="14" spans="1:6">
      <c r="A14" s="10" t="s">
        <v>165</v>
      </c>
      <c r="B14" s="12">
        <f>'ENM Capex'!B4</f>
        <v>1.379</v>
      </c>
      <c r="C14" s="12">
        <f>'ENM Capex'!C4</f>
        <v>13.01</v>
      </c>
      <c r="D14" s="12">
        <f>'ENM Capex'!D4</f>
        <v>13.193</v>
      </c>
      <c r="E14" s="12">
        <f>'ENM Capex'!E4</f>
        <v>16.373000000000001</v>
      </c>
      <c r="F14" s="12">
        <f>'ENM Capex'!F4</f>
        <v>24.155999999999999</v>
      </c>
    </row>
    <row r="15" spans="1:6">
      <c r="A15" s="10"/>
      <c r="B15" s="11"/>
      <c r="C15" s="11"/>
      <c r="D15" s="11"/>
      <c r="E15" s="11"/>
      <c r="F15" s="11"/>
    </row>
    <row r="16" spans="1:6">
      <c r="A16" s="10"/>
      <c r="B16" s="11"/>
      <c r="C16" s="11"/>
      <c r="D16" s="11"/>
      <c r="E16" s="11"/>
      <c r="F16" s="11"/>
    </row>
    <row r="17" spans="1:6">
      <c r="A17" s="10"/>
      <c r="B17" s="11"/>
      <c r="C17" s="11"/>
      <c r="D17" s="11"/>
      <c r="E17" s="11"/>
      <c r="F17" s="11"/>
    </row>
    <row r="18" spans="1:6">
      <c r="A18" s="10"/>
      <c r="B18" s="11"/>
      <c r="C18" s="11"/>
      <c r="D18" s="11"/>
      <c r="E18" s="11"/>
      <c r="F18" s="11"/>
    </row>
    <row r="19" spans="1:6">
      <c r="A19" s="10"/>
      <c r="B19" s="11"/>
      <c r="C19" s="11"/>
      <c r="D19" s="11"/>
      <c r="E19" s="11"/>
      <c r="F19" s="11"/>
    </row>
    <row r="20" spans="1:6">
      <c r="A20" s="10"/>
      <c r="B20" s="11"/>
      <c r="C20" s="11"/>
      <c r="D20" s="11"/>
      <c r="E20" s="11"/>
      <c r="F20" s="11"/>
    </row>
    <row r="21" spans="1:6">
      <c r="A21" s="10"/>
      <c r="B21" s="11"/>
      <c r="C21" s="11"/>
      <c r="D21" s="11"/>
      <c r="E21" s="11"/>
      <c r="F21" s="11"/>
    </row>
    <row r="22" spans="1:6">
      <c r="A22" s="10"/>
      <c r="B22" s="11"/>
      <c r="C22" s="11"/>
      <c r="D22" s="11"/>
      <c r="E22" s="11"/>
      <c r="F22" s="11"/>
    </row>
    <row r="23" spans="1:6">
      <c r="A23" s="10"/>
      <c r="B23" s="11"/>
      <c r="C23" s="11"/>
      <c r="D23" s="11"/>
      <c r="E23" s="11"/>
      <c r="F23" s="11"/>
    </row>
    <row r="24" spans="1:6">
      <c r="A24" s="10"/>
      <c r="B24" s="11"/>
      <c r="C24" s="11"/>
      <c r="D24" s="11"/>
      <c r="E24" s="11"/>
      <c r="F24" s="11"/>
    </row>
    <row r="25" spans="1:6">
      <c r="A25" s="10"/>
      <c r="B25" s="11"/>
      <c r="C25" s="11"/>
      <c r="D25" s="11"/>
      <c r="E25" s="11"/>
      <c r="F25" s="11"/>
    </row>
    <row r="26" spans="1:6">
      <c r="A26" s="10"/>
      <c r="B26" s="11"/>
      <c r="C26" s="11"/>
      <c r="D26" s="11"/>
      <c r="E26" s="11"/>
      <c r="F26" s="11"/>
    </row>
    <row r="27" spans="1:6">
      <c r="A27" s="10"/>
      <c r="B27" s="11"/>
      <c r="C27" s="11"/>
      <c r="D27" s="11"/>
      <c r="E27" s="11"/>
      <c r="F27" s="11"/>
    </row>
    <row r="28" spans="1:6">
      <c r="A28" s="10"/>
      <c r="B28" s="11"/>
      <c r="C28" s="11"/>
      <c r="D28" s="11"/>
      <c r="E28" s="11"/>
      <c r="F28" s="11"/>
    </row>
    <row r="29" spans="1:6">
      <c r="A29" s="10"/>
      <c r="B29" s="11"/>
      <c r="C29" s="11"/>
      <c r="D29" s="11"/>
      <c r="E29" s="11"/>
      <c r="F29" s="11"/>
    </row>
    <row r="30" spans="1:6">
      <c r="A30" s="10"/>
      <c r="B30" s="11"/>
      <c r="C30" s="11"/>
      <c r="D30" s="11"/>
      <c r="E30" s="11"/>
      <c r="F30" s="11"/>
    </row>
    <row r="31" spans="1:6">
      <c r="A31" s="10"/>
      <c r="B31" s="11"/>
      <c r="C31" s="11"/>
      <c r="D31" s="11"/>
      <c r="E31" s="11"/>
      <c r="F31" s="11"/>
    </row>
    <row r="32" spans="1:6">
      <c r="A32" s="10"/>
      <c r="B32" s="11"/>
      <c r="C32" s="11"/>
      <c r="D32" s="11"/>
      <c r="E32" s="11"/>
      <c r="F32" s="11"/>
    </row>
    <row r="33" spans="1:6">
      <c r="A33" s="10"/>
      <c r="B33" s="11"/>
      <c r="C33" s="11"/>
      <c r="D33" s="11"/>
      <c r="E33" s="11"/>
      <c r="F33" s="11"/>
    </row>
    <row r="34" spans="1:6">
      <c r="A34" s="10"/>
      <c r="B34" s="11"/>
      <c r="C34" s="11"/>
      <c r="D34" s="11"/>
      <c r="E34" s="11"/>
      <c r="F34" s="11"/>
    </row>
    <row r="35" spans="1:6">
      <c r="A35" s="10"/>
      <c r="B35" s="11"/>
      <c r="C35" s="11"/>
      <c r="D35" s="11"/>
      <c r="E35" s="11"/>
      <c r="F35" s="11"/>
    </row>
    <row r="36" spans="1:6">
      <c r="A36" s="10"/>
      <c r="B36" s="11"/>
      <c r="C36" s="11"/>
      <c r="D36" s="11"/>
      <c r="E36" s="11"/>
      <c r="F36" s="11"/>
    </row>
    <row r="37" spans="1:6">
      <c r="A37" s="10"/>
      <c r="B37" s="11"/>
      <c r="C37" s="11"/>
      <c r="D37" s="11"/>
      <c r="E37" s="11"/>
      <c r="F37" s="11"/>
    </row>
    <row r="38" spans="1:6">
      <c r="A38" s="10"/>
      <c r="B38" s="11"/>
      <c r="C38" s="11"/>
      <c r="D38" s="11"/>
      <c r="E38" s="11"/>
      <c r="F38" s="11"/>
    </row>
    <row r="39" spans="1:6">
      <c r="A39" s="10"/>
      <c r="B39" s="11"/>
      <c r="C39" s="11"/>
      <c r="D39" s="11"/>
      <c r="E39" s="11"/>
      <c r="F39" s="11"/>
    </row>
    <row r="40" spans="1:6">
      <c r="A40" s="10"/>
      <c r="B40" s="11"/>
      <c r="C40" s="11"/>
      <c r="D40" s="11"/>
      <c r="E40" s="11"/>
      <c r="F40" s="11"/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0"/>
  <sheetViews>
    <sheetView workbookViewId="0">
      <selection sqref="A1:F1"/>
    </sheetView>
  </sheetViews>
  <sheetFormatPr defaultColWidth="9" defaultRowHeight="13.8"/>
  <cols>
    <col min="1" max="1" width="36" customWidth="1"/>
    <col min="2" max="6" width="13" customWidth="1"/>
  </cols>
  <sheetData>
    <row r="1" spans="1:6" ht="17.399999999999999">
      <c r="A1" s="165" t="s">
        <v>180</v>
      </c>
      <c r="B1" s="165"/>
      <c r="C1" s="165"/>
      <c r="D1" s="165"/>
      <c r="E1" s="165"/>
      <c r="F1" s="165"/>
    </row>
    <row r="2" spans="1:6">
      <c r="A2" s="8" t="s">
        <v>0</v>
      </c>
      <c r="B2" s="9">
        <v>2020</v>
      </c>
      <c r="C2" s="9">
        <v>2021</v>
      </c>
      <c r="D2" s="9">
        <v>2022</v>
      </c>
      <c r="E2" s="9">
        <v>2023</v>
      </c>
      <c r="F2" s="9">
        <v>2024</v>
      </c>
    </row>
    <row r="3" spans="1:6">
      <c r="A3" s="10"/>
      <c r="B3" s="11"/>
      <c r="C3" s="11"/>
      <c r="D3" s="11"/>
      <c r="E3" s="11"/>
      <c r="F3" s="11"/>
    </row>
    <row r="4" spans="1:6">
      <c r="A4" s="10" t="s">
        <v>181</v>
      </c>
      <c r="B4" s="14">
        <v>1.379</v>
      </c>
      <c r="C4" s="14">
        <v>13.01</v>
      </c>
      <c r="D4" s="14">
        <v>13.193</v>
      </c>
      <c r="E4" s="14">
        <v>16.373000000000001</v>
      </c>
      <c r="F4" s="14">
        <v>24.155999999999999</v>
      </c>
    </row>
    <row r="5" spans="1:6">
      <c r="A5" s="10"/>
      <c r="B5" s="11"/>
      <c r="C5" s="11"/>
      <c r="D5" s="11"/>
      <c r="E5" s="11"/>
      <c r="F5" s="11"/>
    </row>
    <row r="6" spans="1:6">
      <c r="A6" s="166" t="s">
        <v>182</v>
      </c>
      <c r="B6" s="167"/>
      <c r="C6" s="167"/>
      <c r="D6" s="167"/>
      <c r="E6" s="167"/>
      <c r="F6" s="167"/>
    </row>
    <row r="7" spans="1:6">
      <c r="A7" s="166"/>
      <c r="B7" s="167"/>
      <c r="C7" s="167"/>
      <c r="D7" s="167"/>
      <c r="E7" s="167"/>
      <c r="F7" s="167"/>
    </row>
    <row r="8" spans="1:6">
      <c r="A8" s="10"/>
      <c r="B8" s="11"/>
      <c r="C8" s="11"/>
      <c r="D8" s="11"/>
      <c r="E8" s="11"/>
      <c r="F8" s="11"/>
    </row>
    <row r="9" spans="1:6">
      <c r="A9" s="10"/>
      <c r="B9" s="11"/>
      <c r="C9" s="11"/>
      <c r="D9" s="11"/>
      <c r="E9" s="11"/>
      <c r="F9" s="11"/>
    </row>
    <row r="10" spans="1:6">
      <c r="A10" s="10"/>
      <c r="B10" s="11"/>
      <c r="C10" s="11"/>
      <c r="D10" s="11"/>
      <c r="E10" s="11"/>
      <c r="F10" s="11"/>
    </row>
    <row r="11" spans="1:6">
      <c r="A11" s="10"/>
      <c r="B11" s="11"/>
      <c r="C11" s="11"/>
      <c r="D11" s="11"/>
      <c r="E11" s="11"/>
      <c r="F11" s="11"/>
    </row>
    <row r="12" spans="1:6">
      <c r="A12" s="10"/>
      <c r="B12" s="11"/>
      <c r="C12" s="11"/>
      <c r="D12" s="11"/>
      <c r="E12" s="11"/>
      <c r="F12" s="11"/>
    </row>
    <row r="13" spans="1:6">
      <c r="A13" s="10"/>
      <c r="B13" s="11"/>
      <c r="C13" s="11"/>
      <c r="D13" s="11"/>
      <c r="E13" s="11"/>
      <c r="F13" s="11"/>
    </row>
    <row r="14" spans="1:6">
      <c r="A14" s="10"/>
      <c r="B14" s="11"/>
      <c r="C14" s="11"/>
      <c r="D14" s="11"/>
      <c r="E14" s="11"/>
      <c r="F14" s="11"/>
    </row>
    <row r="15" spans="1:6">
      <c r="A15" s="10"/>
      <c r="B15" s="11"/>
      <c r="C15" s="11"/>
      <c r="D15" s="11"/>
      <c r="E15" s="11"/>
      <c r="F15" s="11"/>
    </row>
    <row r="16" spans="1:6">
      <c r="A16" s="10"/>
      <c r="B16" s="11"/>
      <c r="C16" s="11"/>
      <c r="D16" s="11"/>
      <c r="E16" s="11"/>
      <c r="F16" s="11"/>
    </row>
    <row r="17" spans="1:6">
      <c r="A17" s="10"/>
      <c r="B17" s="11"/>
      <c r="C17" s="11"/>
      <c r="D17" s="11"/>
      <c r="E17" s="11"/>
      <c r="F17" s="11"/>
    </row>
    <row r="18" spans="1:6">
      <c r="A18" s="10"/>
      <c r="B18" s="11"/>
      <c r="C18" s="11"/>
      <c r="D18" s="11"/>
      <c r="E18" s="11"/>
      <c r="F18" s="11"/>
    </row>
    <row r="19" spans="1:6">
      <c r="A19" s="10"/>
      <c r="B19" s="11"/>
      <c r="C19" s="11"/>
      <c r="D19" s="11"/>
      <c r="E19" s="11"/>
      <c r="F19" s="11"/>
    </row>
    <row r="20" spans="1:6">
      <c r="A20" s="10"/>
      <c r="B20" s="11"/>
      <c r="C20" s="11"/>
      <c r="D20" s="11"/>
      <c r="E20" s="11"/>
      <c r="F20" s="11"/>
    </row>
    <row r="21" spans="1:6">
      <c r="A21" s="10"/>
      <c r="B21" s="11"/>
      <c r="C21" s="11"/>
      <c r="D21" s="11"/>
      <c r="E21" s="11"/>
      <c r="F21" s="11"/>
    </row>
    <row r="22" spans="1:6">
      <c r="A22" s="10"/>
      <c r="B22" s="11"/>
      <c r="C22" s="11"/>
      <c r="D22" s="11"/>
      <c r="E22" s="11"/>
      <c r="F22" s="11"/>
    </row>
    <row r="23" spans="1:6">
      <c r="A23" s="10"/>
      <c r="B23" s="11"/>
      <c r="C23" s="11"/>
      <c r="D23" s="11"/>
      <c r="E23" s="11"/>
      <c r="F23" s="11"/>
    </row>
    <row r="24" spans="1:6">
      <c r="A24" s="10"/>
      <c r="B24" s="11"/>
      <c r="C24" s="11"/>
      <c r="D24" s="11"/>
      <c r="E24" s="11"/>
      <c r="F24" s="11"/>
    </row>
    <row r="25" spans="1:6">
      <c r="A25" s="10"/>
      <c r="B25" s="11"/>
      <c r="C25" s="11"/>
      <c r="D25" s="11"/>
      <c r="E25" s="11"/>
      <c r="F25" s="11"/>
    </row>
    <row r="26" spans="1:6">
      <c r="A26" s="10"/>
      <c r="B26" s="11"/>
      <c r="C26" s="11"/>
      <c r="D26" s="11"/>
      <c r="E26" s="11"/>
      <c r="F26" s="11"/>
    </row>
    <row r="27" spans="1:6">
      <c r="A27" s="10"/>
      <c r="B27" s="11"/>
      <c r="C27" s="11"/>
      <c r="D27" s="11"/>
      <c r="E27" s="11"/>
      <c r="F27" s="11"/>
    </row>
    <row r="28" spans="1:6">
      <c r="A28" s="10"/>
      <c r="B28" s="11"/>
      <c r="C28" s="11"/>
      <c r="D28" s="11"/>
      <c r="E28" s="11"/>
      <c r="F28" s="11"/>
    </row>
    <row r="29" spans="1:6">
      <c r="A29" s="10"/>
      <c r="B29" s="11"/>
      <c r="C29" s="11"/>
      <c r="D29" s="11"/>
      <c r="E29" s="11"/>
      <c r="F29" s="11"/>
    </row>
    <row r="30" spans="1:6">
      <c r="A30" s="10"/>
      <c r="B30" s="11"/>
      <c r="C30" s="11"/>
      <c r="D30" s="11"/>
      <c r="E30" s="11"/>
      <c r="F30" s="11"/>
    </row>
    <row r="31" spans="1:6">
      <c r="A31" s="10"/>
      <c r="B31" s="11"/>
      <c r="C31" s="11"/>
      <c r="D31" s="11"/>
      <c r="E31" s="11"/>
      <c r="F31" s="11"/>
    </row>
    <row r="32" spans="1:6">
      <c r="A32" s="10"/>
      <c r="B32" s="11"/>
      <c r="C32" s="11"/>
      <c r="D32" s="11"/>
      <c r="E32" s="11"/>
      <c r="F32" s="11"/>
    </row>
    <row r="33" spans="1:6">
      <c r="A33" s="10"/>
      <c r="B33" s="11"/>
      <c r="C33" s="11"/>
      <c r="D33" s="11"/>
      <c r="E33" s="11"/>
      <c r="F33" s="11"/>
    </row>
    <row r="34" spans="1:6">
      <c r="A34" s="10"/>
      <c r="B34" s="11"/>
      <c r="C34" s="11"/>
      <c r="D34" s="11"/>
      <c r="E34" s="11"/>
      <c r="F34" s="11"/>
    </row>
    <row r="35" spans="1:6">
      <c r="A35" s="10"/>
      <c r="B35" s="11"/>
      <c r="C35" s="11"/>
      <c r="D35" s="11"/>
      <c r="E35" s="11"/>
      <c r="F35" s="11"/>
    </row>
    <row r="36" spans="1:6">
      <c r="A36" s="10"/>
      <c r="B36" s="11"/>
      <c r="C36" s="11"/>
      <c r="D36" s="11"/>
      <c r="E36" s="11"/>
      <c r="F36" s="11"/>
    </row>
    <row r="37" spans="1:6">
      <c r="A37" s="10"/>
      <c r="B37" s="11"/>
      <c r="C37" s="11"/>
      <c r="D37" s="11"/>
      <c r="E37" s="11"/>
      <c r="F37" s="11"/>
    </row>
    <row r="38" spans="1:6">
      <c r="A38" s="10"/>
      <c r="B38" s="11"/>
      <c r="C38" s="11"/>
      <c r="D38" s="11"/>
      <c r="E38" s="11"/>
      <c r="F38" s="11"/>
    </row>
    <row r="39" spans="1:6">
      <c r="A39" s="10"/>
      <c r="B39" s="11"/>
      <c r="C39" s="11"/>
      <c r="D39" s="11"/>
      <c r="E39" s="11"/>
      <c r="F39" s="11"/>
    </row>
    <row r="40" spans="1:6">
      <c r="A40" s="10"/>
      <c r="B40" s="11"/>
      <c r="C40" s="11"/>
      <c r="D40" s="11"/>
      <c r="E40" s="11"/>
      <c r="F40" s="11"/>
    </row>
  </sheetData>
  <mergeCells count="2">
    <mergeCell ref="A1:F1"/>
    <mergeCell ref="A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Cover</vt:lpstr>
      <vt:lpstr>Output&gt;&gt;</vt:lpstr>
      <vt:lpstr>Overview</vt:lpstr>
      <vt:lpstr>Overview FS</vt:lpstr>
      <vt:lpstr>Input&gt;&gt;</vt:lpstr>
      <vt:lpstr>EVM Bilanz</vt:lpstr>
      <vt:lpstr>EVM GuV</vt:lpstr>
      <vt:lpstr>EVM Cashflow</vt:lpstr>
      <vt:lpstr>ENM Bilanz</vt:lpstr>
      <vt:lpstr>ENM GuV</vt:lpstr>
      <vt:lpstr>ENM Cashflow</vt:lpstr>
      <vt:lpstr>EVM KPIs</vt:lpstr>
      <vt:lpstr>EVM Capex Revenue</vt:lpstr>
      <vt:lpstr>Netzinfratruktur</vt:lpstr>
      <vt:lpstr>ENM KPIs</vt:lpstr>
      <vt:lpstr>ENM Capex</vt:lpstr>
      <vt:lpstr>Stromverkauf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Pfennig</cp:lastModifiedBy>
  <dcterms:modified xsi:type="dcterms:W3CDTF">2026-08-12T19:35:26Z</dcterms:modified>
</cp:coreProperties>
</file>