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Output&gt;&gt;" sheetId="2" state="visible" r:id="rId2"/>
    <sheet name="Overview FS" sheetId="3" state="visible" r:id="rId3"/>
    <sheet name="Input&gt;&gt;" sheetId="4" state="visible" r:id="rId4"/>
    <sheet name="ESWE Bilanz" sheetId="5" state="visible" r:id="rId5"/>
    <sheet name="ESWE GuV" sheetId="6" state="visible" r:id="rId6"/>
    <sheet name="ESWE Cashflow" sheetId="7" state="visible" r:id="rId7"/>
    <sheet name="ESWE KPIs" sheetId="8" state="visible" r:id="rId8"/>
    <sheet name="ESWE Capex Revenue" sheetId="9" state="visible" r:id="rId9"/>
    <sheet name="Quellen &amp; Hinweise" sheetId="10" state="visible" r:id="rId10"/>
  </sheets>
  <definedNames/>
  <calcPr calcId="124519" fullCalcOnLoad="1"/>
</workbook>
</file>

<file path=xl/styles.xml><?xml version="1.0" encoding="utf-8"?>
<styleSheet xmlns="http://schemas.openxmlformats.org/spreadsheetml/2006/main">
  <numFmts count="4">
    <numFmt numFmtId="164" formatCode="#,##0.0;\(#,##0.0\);\-"/>
    <numFmt numFmtId="165" formatCode="0.0%;[Red]\(0.0%\);\-"/>
    <numFmt numFmtId="166" formatCode="0.0\x;[Red]\(0.0\x\);\-"/>
    <numFmt numFmtId="167" formatCode="#,##0;\(#,##0\);\-"/>
  </numFmts>
  <fonts count="17">
    <font>
      <name val="Calibri"/>
      <family val="2"/>
      <color theme="1"/>
      <sz val="11"/>
      <scheme val="minor"/>
    </font>
    <font>
      <name val="Univers for Metzler"/>
      <b val="1"/>
      <color rgb="FFFFFFFF"/>
      <sz val="16"/>
    </font>
    <font>
      <name val="Univers for Metzler"/>
      <b val="1"/>
      <sz val="12"/>
    </font>
    <font>
      <name val="Univers for Metzler"/>
      <i val="1"/>
      <color rgb="FF666666"/>
      <sz val="10"/>
    </font>
    <font>
      <name val="Univers for Metzler"/>
      <b val="1"/>
      <color rgb="FFFFFFFF"/>
      <sz val="11"/>
    </font>
    <font>
      <name val="Univers for Metzler"/>
      <b val="1"/>
      <sz val="11"/>
    </font>
    <font>
      <name val="Univers for Metzler"/>
      <sz val="11"/>
    </font>
    <font>
      <name val="Univers for Metzler"/>
      <b val="1"/>
      <color rgb="FF0000FF"/>
      <sz val="11"/>
    </font>
    <font>
      <name val="Univers for Metzler"/>
      <b val="1"/>
      <color rgb="FF000000"/>
      <sz val="11"/>
    </font>
    <font>
      <name val="Univers for Metzler"/>
      <b val="1"/>
      <color rgb="FF008000"/>
      <sz val="11"/>
    </font>
    <font>
      <name val="Univers for Metzler"/>
      <b val="1"/>
      <color rgb="FF808080"/>
      <sz val="11"/>
    </font>
    <font>
      <name val="Univers for Metzler"/>
      <i val="1"/>
      <color rgb="FF666666"/>
      <sz val="8"/>
    </font>
    <font>
      <name val="Univers for Metzler"/>
      <color rgb="FF008000"/>
      <sz val="11"/>
    </font>
    <font>
      <name val="Univers for Metzler"/>
      <color rgb="FF000000"/>
      <sz val="11"/>
    </font>
    <font>
      <name val="Univers for Metzler"/>
      <b val="1"/>
      <color rgb="FFFFFFFF"/>
      <sz val="14"/>
    </font>
    <font>
      <name val="Univers for Metzler"/>
      <color rgb="FF0000FF"/>
      <sz val="11"/>
    </font>
    <font>
      <name val="Univers for Metzler"/>
      <i val="1"/>
      <color rgb="FF808080"/>
      <sz val="11"/>
    </font>
  </fonts>
  <fills count="4">
    <fill>
      <patternFill/>
    </fill>
    <fill>
      <patternFill patternType="gray125"/>
    </fill>
    <fill>
      <patternFill patternType="solid">
        <fgColor rgb="00003D7C"/>
      </patternFill>
    </fill>
    <fill>
      <patternFill patternType="solid">
        <fgColor rgb="003157E3"/>
      </patternFill>
    </fill>
  </fills>
  <borders count="4">
    <border>
      <left/>
      <right/>
      <top/>
      <bottom/>
      <diagonal/>
    </border>
    <border>
      <bottom style="thin">
        <color rgb="FF000000"/>
      </bottom>
    </border>
    <border>
      <top style="thin">
        <color rgb="FF000000"/>
      </top>
    </border>
    <border>
      <top style="thin">
        <color rgb="FF000000"/>
      </top>
      <bottom style="thin">
        <color rgb="FF000000"/>
      </bottom>
    </border>
  </borders>
  <cellStyleXfs count="1">
    <xf numFmtId="0" fontId="0" fillId="0" borderId="0"/>
  </cellStyleXfs>
  <cellXfs count="47">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3" borderId="0" applyAlignment="1" pivotButton="0" quotePrefix="0" xfId="0">
      <alignment vertical="center"/>
    </xf>
    <xf numFmtId="0" fontId="4" fillId="3" borderId="0" applyAlignment="1" pivotButton="0" quotePrefix="0" xfId="0">
      <alignment horizontal="left" vertical="center"/>
    </xf>
    <xf numFmtId="0" fontId="4" fillId="3" borderId="0" applyAlignment="1" pivotButton="0" quotePrefix="0" xfId="0">
      <alignment horizontal="righ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5" fillId="0" borderId="0" pivotButton="0" quotePrefix="0" xfId="0"/>
    <xf numFmtId="0" fontId="7" fillId="0" borderId="0" applyAlignment="1" pivotButton="0" quotePrefix="0" xfId="0">
      <alignment horizontal="left" vertical="center" indent="1"/>
    </xf>
    <xf numFmtId="0" fontId="8" fillId="0" borderId="0" applyAlignment="1" pivotButton="0" quotePrefix="0" xfId="0">
      <alignment horizontal="left" vertical="center" indent="1"/>
    </xf>
    <xf numFmtId="0" fontId="9" fillId="0" borderId="0" applyAlignment="1" pivotButton="0" quotePrefix="0" xfId="0">
      <alignment horizontal="left" vertical="center" indent="1"/>
    </xf>
    <xf numFmtId="0" fontId="10" fillId="0" borderId="0" applyAlignment="1" pivotButton="0" quotePrefix="0" xfId="0">
      <alignment horizontal="left" vertical="center" indent="1"/>
    </xf>
    <xf numFmtId="0" fontId="11" fillId="0" borderId="0" applyAlignment="1" pivotButton="0" quotePrefix="0" xfId="0">
      <alignment vertical="top" wrapText="1"/>
    </xf>
    <xf numFmtId="0" fontId="5" fillId="0" borderId="1" applyAlignment="1" pivotButton="0" quotePrefix="0" xfId="0">
      <alignment horizontal="left" vertical="center"/>
    </xf>
    <xf numFmtId="164" fontId="9" fillId="0" borderId="1" applyAlignment="1" pivotButton="0" quotePrefix="0" xfId="0">
      <alignment horizontal="right" vertical="center"/>
    </xf>
    <xf numFmtId="164" fontId="12" fillId="0" borderId="0" applyAlignment="1" pivotButton="0" quotePrefix="0" xfId="0">
      <alignment horizontal="right" vertical="center"/>
    </xf>
    <xf numFmtId="165" fontId="12" fillId="0" borderId="0" applyAlignment="1" pivotButton="0" quotePrefix="0" xfId="0">
      <alignment horizontal="right" vertical="center"/>
    </xf>
    <xf numFmtId="164" fontId="9" fillId="0" borderId="0" applyAlignment="1" pivotButton="0" quotePrefix="0" xfId="0">
      <alignment horizontal="right" vertical="center"/>
    </xf>
    <xf numFmtId="0" fontId="6" fillId="0" borderId="1" applyAlignment="1" pivotButton="0" quotePrefix="0" xfId="0">
      <alignment horizontal="left" vertical="center"/>
    </xf>
    <xf numFmtId="164" fontId="12" fillId="0" borderId="1" applyAlignment="1" pivotButton="0" quotePrefix="0" xfId="0">
      <alignment horizontal="right" vertical="center"/>
    </xf>
    <xf numFmtId="164" fontId="8" fillId="0" borderId="0" applyAlignment="1" pivotButton="0" quotePrefix="0" xfId="0">
      <alignment horizontal="right" vertical="center"/>
    </xf>
    <xf numFmtId="165" fontId="9" fillId="0" borderId="1" applyAlignment="1" pivotButton="0" quotePrefix="0" xfId="0">
      <alignment horizontal="right" vertical="center"/>
    </xf>
    <xf numFmtId="166" fontId="9" fillId="0" borderId="1" applyAlignment="1" pivotButton="0" quotePrefix="0" xfId="0">
      <alignment horizontal="right" vertical="center"/>
    </xf>
    <xf numFmtId="0" fontId="5" fillId="0" borderId="3" applyAlignment="1" pivotButton="0" quotePrefix="0" xfId="0">
      <alignment horizontal="left" vertical="center"/>
    </xf>
    <xf numFmtId="164" fontId="8" fillId="0" borderId="3" applyAlignment="1" pivotButton="0" quotePrefix="0" xfId="0">
      <alignment horizontal="right" vertical="center"/>
    </xf>
    <xf numFmtId="165" fontId="13" fillId="0" borderId="0" applyAlignment="1" pivotButton="0" quotePrefix="0" xfId="0">
      <alignment horizontal="right" vertical="center"/>
    </xf>
    <xf numFmtId="0" fontId="14" fillId="2" borderId="0" applyAlignment="1" pivotButton="0" quotePrefix="0" xfId="0">
      <alignment vertical="center"/>
    </xf>
    <xf numFmtId="0" fontId="5" fillId="0" borderId="2" applyAlignment="1" pivotButton="0" quotePrefix="0" xfId="0">
      <alignment horizontal="left" vertical="center"/>
    </xf>
    <xf numFmtId="164" fontId="8" fillId="0" borderId="2" applyAlignment="1" pivotButton="0" quotePrefix="0" xfId="0">
      <alignment horizontal="right" vertical="center"/>
    </xf>
    <xf numFmtId="0" fontId="6" fillId="0" borderId="0" applyAlignment="1" pivotButton="0" quotePrefix="0" xfId="0">
      <alignment horizontal="left" vertical="center" indent="1"/>
    </xf>
    <xf numFmtId="164" fontId="15" fillId="0" borderId="0" applyAlignment="1" pivotButton="0" quotePrefix="0" xfId="0">
      <alignment horizontal="right" vertical="center"/>
    </xf>
    <xf numFmtId="164" fontId="7" fillId="0" borderId="0" applyAlignment="1" pivotButton="0" quotePrefix="0" xfId="0">
      <alignment horizontal="right" vertical="center"/>
    </xf>
    <xf numFmtId="164" fontId="13" fillId="0" borderId="0" applyAlignment="1" pivotButton="0" quotePrefix="0" xfId="0">
      <alignment horizontal="right" vertical="center"/>
    </xf>
    <xf numFmtId="165" fontId="13" fillId="0" borderId="1" applyAlignment="1" pivotButton="0" quotePrefix="0" xfId="0">
      <alignment horizontal="right" vertical="center"/>
    </xf>
    <xf numFmtId="164" fontId="8" fillId="0" borderId="1" applyAlignment="1" pivotButton="0" quotePrefix="0" xfId="0">
      <alignment horizontal="right" vertical="center"/>
    </xf>
    <xf numFmtId="165" fontId="8" fillId="0" borderId="0" applyAlignment="1" pivotButton="0" quotePrefix="0" xfId="0">
      <alignment horizontal="right" vertical="center"/>
    </xf>
    <xf numFmtId="166" fontId="8" fillId="0" borderId="1" applyAlignment="1" pivotButton="0" quotePrefix="0" xfId="0">
      <alignment horizontal="right" vertical="center"/>
    </xf>
    <xf numFmtId="167" fontId="12" fillId="0" borderId="0" applyAlignment="1" pivotButton="0" quotePrefix="0" xfId="0">
      <alignment horizontal="right" vertical="center"/>
    </xf>
    <xf numFmtId="164" fontId="16" fillId="0" borderId="0" applyAlignment="1" pivotButton="0" quotePrefix="0" xfId="0">
      <alignment horizontal="right" vertical="center"/>
    </xf>
    <xf numFmtId="167" fontId="15" fillId="0" borderId="0" applyAlignment="1" pivotButton="0" quotePrefix="0" xfId="0">
      <alignment horizontal="right" vertical="center"/>
    </xf>
    <xf numFmtId="0" fontId="6" fillId="0" borderId="3" applyAlignment="1" pivotButton="0" quotePrefix="0" xfId="0">
      <alignment horizontal="left" vertical="center"/>
    </xf>
    <xf numFmtId="164" fontId="13" fillId="0" borderId="3" applyAlignment="1" pivotButton="0" quotePrefix="0" xfId="0">
      <alignment horizontal="right" vertical="center"/>
    </xf>
    <xf numFmtId="165" fontId="8" fillId="0" borderId="3" applyAlignment="1" pivotButton="0" quotePrefix="0" xfId="0">
      <alignment horizontal="right" vertical="center"/>
    </xf>
    <xf numFmtId="0" fontId="5" fillId="0" borderId="0" applyAlignment="1" pivotButton="0" quotePrefix="0" xfId="0">
      <alignment horizontal="left" vertical="top"/>
    </xf>
    <xf numFmtId="0" fontId="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23"/>
  <sheetViews>
    <sheetView showGridLines="0" workbookViewId="0">
      <selection activeCell="A1" sqref="A1"/>
    </sheetView>
  </sheetViews>
  <sheetFormatPr baseColWidth="8" defaultRowHeight="15"/>
  <cols>
    <col width="9" customWidth="1" min="1" max="1"/>
    <col width="46" customWidth="1" min="2" max="2"/>
    <col width="22" customWidth="1" min="3" max="3"/>
    <col width="22" customWidth="1" min="4" max="4"/>
    <col width="22" customWidth="1" min="5" max="5"/>
    <col width="22" customWidth="1" min="6" max="6"/>
    <col width="22" customWidth="1" min="7" max="7"/>
    <col width="9" customWidth="1" min="8" max="8"/>
  </cols>
  <sheetData>
    <row r="2" ht="21" customHeight="1">
      <c r="B2" s="1" t="inlineStr">
        <is>
          <t>ESWE Versorgungs AG – Financial Model 2021–2025</t>
        </is>
      </c>
      <c r="C2" s="1" t="n"/>
      <c r="D2" s="1" t="n"/>
      <c r="E2" s="1" t="n"/>
      <c r="F2" s="1" t="n"/>
      <c r="G2" s="1" t="n"/>
    </row>
    <row r="4">
      <c r="B4" s="2" t="inlineStr">
        <is>
          <t>HGB-Einzelabschluss · Geschäftsjahre 2021 bis 2025</t>
        </is>
      </c>
    </row>
    <row r="5">
      <c r="B5" s="3" t="inlineStr">
        <is>
          <t>Alle Beträge in EUR Mio., sofern nicht anders vermerkt</t>
        </is>
      </c>
    </row>
    <row r="7">
      <c r="B7" s="4" t="inlineStr">
        <is>
          <t>Inhalt</t>
        </is>
      </c>
      <c r="C7" s="5" t="inlineStr">
        <is>
          <t>Inhalt / Beschreibung</t>
        </is>
      </c>
      <c r="D7" s="6" t="n"/>
      <c r="E7" s="6" t="n"/>
      <c r="F7" s="6" t="n"/>
      <c r="G7" s="6" t="n"/>
    </row>
    <row r="8">
      <c r="B8" s="7" t="inlineStr">
        <is>
          <t>Overview FS</t>
        </is>
      </c>
      <c r="C8" s="8" t="inlineStr">
        <is>
          <t>Verdichtete Ertrags-, Finanz- und Vermögenslage sowie Kennzahlen 2021–2025</t>
        </is>
      </c>
    </row>
    <row r="9">
      <c r="B9" s="7" t="inlineStr">
        <is>
          <t>ESWE Bilanz</t>
        </is>
      </c>
      <c r="C9" s="8" t="inlineStr">
        <is>
          <t>Bilanz zum 31. Dezember, Gliederung gem. § 266 HGB</t>
        </is>
      </c>
    </row>
    <row r="10">
      <c r="B10" s="7" t="inlineStr">
        <is>
          <t>ESWE GuV</t>
        </is>
      </c>
      <c r="C10" s="8" t="inlineStr">
        <is>
          <t>Gewinn- und Verlustrechnung, Gesamtkostenverfahren gem. § 275 Abs. 2 HGB</t>
        </is>
      </c>
    </row>
    <row r="11">
      <c r="B11" s="7" t="inlineStr">
        <is>
          <t>ESWE Cashflow</t>
        </is>
      </c>
      <c r="C11" s="8" t="inlineStr">
        <is>
          <t>Kapitalflussrechnung nach DRS 21 (veröffentlichte Kurzfassung)</t>
        </is>
      </c>
    </row>
    <row r="12">
      <c r="B12" s="7" t="inlineStr">
        <is>
          <t>ESWE KPIs</t>
        </is>
      </c>
      <c r="C12" s="8" t="inlineStr">
        <is>
          <t>Key Financials – Marge, EBITDA, Net Debt, Eigenkapitalquote, Capex</t>
        </is>
      </c>
    </row>
    <row r="13">
      <c r="B13" s="7" t="inlineStr">
        <is>
          <t>ESWE Capex Revenue</t>
        </is>
      </c>
      <c r="C13" s="8" t="inlineStr">
        <is>
          <t>Investitionen und Umsatzerlöse nach Unternehmensbereichen, Absatzmengen</t>
        </is>
      </c>
    </row>
    <row r="14">
      <c r="B14" s="7" t="inlineStr">
        <is>
          <t>Quellen &amp; Hinweise</t>
        </is>
      </c>
      <c r="C14" s="8" t="inlineStr">
        <is>
          <t>Quellenverzeichnis, Farbkonvention, Abweichungen und Umgliederungen</t>
        </is>
      </c>
    </row>
    <row r="16">
      <c r="B16" s="9" t="inlineStr">
        <is>
          <t>Farbkonvention</t>
        </is>
      </c>
    </row>
    <row r="17">
      <c r="B17" s="10" t="inlineStr">
        <is>
          <t>Blau</t>
        </is>
      </c>
      <c r="C17" s="8" t="inlineStr">
        <is>
          <t>Eingabewert direkt aus dem Jahresabschluss bzw. Geschäftsbericht</t>
        </is>
      </c>
    </row>
    <row r="18">
      <c r="B18" s="11" t="inlineStr">
        <is>
          <t>Schwarz</t>
        </is>
      </c>
      <c r="C18" s="8" t="inlineStr">
        <is>
          <t>Formel innerhalb des Blattes</t>
        </is>
      </c>
    </row>
    <row r="19">
      <c r="B19" s="12" t="inlineStr">
        <is>
          <t>Grün</t>
        </is>
      </c>
      <c r="C19" s="8" t="inlineStr">
        <is>
          <t>Verweis auf ein anderes Blatt dieser Mappe</t>
        </is>
      </c>
    </row>
    <row r="20">
      <c r="B20" s="13" t="inlineStr">
        <is>
          <t>Grau kursiv</t>
        </is>
      </c>
      <c r="C20" s="8" t="inlineStr">
        <is>
          <t>Position im betreffenden Jahr nicht separat ausgewiesen (n.a.)</t>
        </is>
      </c>
    </row>
    <row r="22">
      <c r="B22" s="14" t="inlineStr">
        <is>
          <t>Sämtliche Zwischen- und Endsummen sind als Formeln hinterlegt und nirgends hartcodiert. Die Mappe folgt in Aufbau, Schrift, Farbgebung und Zahlenformaten dem Financial Model der evm AG / enm (evm_enm_financial_model_2020_2024_v5).</t>
        </is>
      </c>
    </row>
    <row r="23"/>
  </sheetData>
  <mergeCells count="1">
    <mergeCell ref="B22:G23"/>
  </mergeCells>
  <pageMargins left="0.75" right="0.75" top="1" bottom="1" header="0.5" footer="0.5"/>
</worksheet>
</file>

<file path=xl/worksheets/sheet2.xml><?xml version="1.0" encoding="utf-8"?>
<worksheet xmlns="http://schemas.openxmlformats.org/spreadsheetml/2006/main">
  <sheetPr>
    <tabColor rgb="00808080"/>
    <outlinePr summaryBelow="1" summaryRight="1"/>
    <pageSetUpPr/>
  </sheetPr>
  <dimension ref="A1:A1"/>
  <sheetViews>
    <sheetView showGridLines="0"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46"/>
  <sheetViews>
    <sheetView showGridLines="0" workbookViewId="0">
      <selection activeCell="A1" sqref="A1"/>
    </sheetView>
  </sheetViews>
  <sheetFormatPr baseColWidth="8" defaultRowHeight="15"/>
  <cols>
    <col width="9" customWidth="1" min="1" max="1"/>
    <col width="46" customWidth="1" min="2" max="2"/>
    <col width="13" customWidth="1" min="3" max="3"/>
    <col width="13" customWidth="1" min="4" max="4"/>
    <col width="13" customWidth="1" min="5" max="5"/>
    <col width="13" customWidth="1" min="6" max="6"/>
    <col width="13" customWidth="1" min="7" max="7"/>
    <col width="9" customWidth="1" min="8" max="8"/>
  </cols>
  <sheetData>
    <row r="2" ht="21" customHeight="1">
      <c r="B2" s="1" t="inlineStr">
        <is>
          <t>ESWE Versorgungs AG – Financial Overview 2021–2025</t>
        </is>
      </c>
      <c r="C2" s="1" t="n"/>
      <c r="D2" s="1" t="n"/>
      <c r="E2" s="1" t="n"/>
      <c r="F2" s="1" t="n"/>
      <c r="G2" s="1" t="n"/>
    </row>
    <row r="3">
      <c r="B3" s="4" t="inlineStr">
        <is>
          <t>EUR Mio. / % / x</t>
        </is>
      </c>
      <c r="C3" s="6" t="n">
        <v>2021</v>
      </c>
      <c r="D3" s="6" t="n">
        <v>2022</v>
      </c>
      <c r="E3" s="6" t="n">
        <v>2023</v>
      </c>
      <c r="F3" s="6" t="n">
        <v>2024</v>
      </c>
      <c r="G3" s="6" t="n">
        <v>2025</v>
      </c>
    </row>
    <row r="4">
      <c r="B4" s="15" t="inlineStr">
        <is>
          <t>Umsatzerlöse</t>
        </is>
      </c>
      <c r="C4" s="16">
        <f>'ESWE KPIs'!C5</f>
        <v/>
      </c>
      <c r="D4" s="16">
        <f>'ESWE KPIs'!D5</f>
        <v/>
      </c>
      <c r="E4" s="16">
        <f>'ESWE KPIs'!E5</f>
        <v/>
      </c>
      <c r="F4" s="16">
        <f>'ESWE KPIs'!F5</f>
        <v/>
      </c>
      <c r="G4" s="16">
        <f>'ESWE KPIs'!G5</f>
        <v/>
      </c>
    </row>
    <row r="5">
      <c r="B5" s="8" t="inlineStr">
        <is>
          <t>Gesamtleistung</t>
        </is>
      </c>
      <c r="C5" s="17">
        <f>'ESWE KPIs'!C6</f>
        <v/>
      </c>
      <c r="D5" s="17">
        <f>'ESWE KPIs'!D6</f>
        <v/>
      </c>
      <c r="E5" s="17">
        <f>'ESWE KPIs'!E6</f>
        <v/>
      </c>
      <c r="F5" s="17">
        <f>'ESWE KPIs'!F6</f>
        <v/>
      </c>
      <c r="G5" s="17">
        <f>'ESWE KPIs'!G6</f>
        <v/>
      </c>
    </row>
    <row r="6">
      <c r="B6" s="8" t="inlineStr">
        <is>
          <t>Rohertrag</t>
        </is>
      </c>
      <c r="C6" s="17">
        <f>'ESWE KPIs'!C7</f>
        <v/>
      </c>
      <c r="D6" s="17">
        <f>'ESWE KPIs'!D7</f>
        <v/>
      </c>
      <c r="E6" s="17">
        <f>'ESWE KPIs'!E7</f>
        <v/>
      </c>
      <c r="F6" s="17">
        <f>'ESWE KPIs'!F7</f>
        <v/>
      </c>
      <c r="G6" s="17">
        <f>'ESWE KPIs'!G7</f>
        <v/>
      </c>
    </row>
    <row r="7">
      <c r="B7" s="8" t="inlineStr">
        <is>
          <t>Rohertragsmarge</t>
        </is>
      </c>
      <c r="C7" s="18">
        <f>'ESWE KPIs'!C8</f>
        <v/>
      </c>
      <c r="D7" s="18">
        <f>'ESWE KPIs'!D8</f>
        <v/>
      </c>
      <c r="E7" s="18">
        <f>'ESWE KPIs'!E8</f>
        <v/>
      </c>
      <c r="F7" s="18">
        <f>'ESWE KPIs'!F8</f>
        <v/>
      </c>
      <c r="G7" s="18">
        <f>'ESWE KPIs'!G8</f>
        <v/>
      </c>
    </row>
    <row r="8">
      <c r="B8" s="15" t="inlineStr">
        <is>
          <t>EBITDA</t>
        </is>
      </c>
      <c r="C8" s="16">
        <f>'ESWE KPIs'!C10</f>
        <v/>
      </c>
      <c r="D8" s="16">
        <f>'ESWE KPIs'!D10</f>
        <v/>
      </c>
      <c r="E8" s="16">
        <f>'ESWE KPIs'!E10</f>
        <v/>
      </c>
      <c r="F8" s="16">
        <f>'ESWE KPIs'!F10</f>
        <v/>
      </c>
      <c r="G8" s="16">
        <f>'ESWE KPIs'!G10</f>
        <v/>
      </c>
    </row>
    <row r="9">
      <c r="B9" s="8" t="inlineStr">
        <is>
          <t>Betriebliches Ergebnis</t>
        </is>
      </c>
      <c r="C9" s="17">
        <f>'ESWE KPIs'!C11</f>
        <v/>
      </c>
      <c r="D9" s="17">
        <f>'ESWE KPIs'!D11</f>
        <v/>
      </c>
      <c r="E9" s="17">
        <f>'ESWE KPIs'!E11</f>
        <v/>
      </c>
      <c r="F9" s="17">
        <f>'ESWE KPIs'!F11</f>
        <v/>
      </c>
      <c r="G9" s="17">
        <f>'ESWE KPIs'!G11</f>
        <v/>
      </c>
    </row>
    <row r="10">
      <c r="B10" s="8" t="inlineStr">
        <is>
          <t>Beteiligungsergebnis</t>
        </is>
      </c>
      <c r="C10" s="17">
        <f>'ESWE KPIs'!C12</f>
        <v/>
      </c>
      <c r="D10" s="17">
        <f>'ESWE KPIs'!D12</f>
        <v/>
      </c>
      <c r="E10" s="17">
        <f>'ESWE KPIs'!E12</f>
        <v/>
      </c>
      <c r="F10" s="17">
        <f>'ESWE KPIs'!F12</f>
        <v/>
      </c>
      <c r="G10" s="17">
        <f>'ESWE KPIs'!G12</f>
        <v/>
      </c>
    </row>
    <row r="11">
      <c r="B11" s="7" t="inlineStr">
        <is>
          <t>Ergebnis vor Steuern</t>
        </is>
      </c>
      <c r="C11" s="19">
        <f>'ESWE KPIs'!C14</f>
        <v/>
      </c>
      <c r="D11" s="19">
        <f>'ESWE KPIs'!D14</f>
        <v/>
      </c>
      <c r="E11" s="19">
        <f>'ESWE KPIs'!E14</f>
        <v/>
      </c>
      <c r="F11" s="19">
        <f>'ESWE KPIs'!F14</f>
        <v/>
      </c>
      <c r="G11" s="19">
        <f>'ESWE KPIs'!G14</f>
        <v/>
      </c>
    </row>
    <row r="12">
      <c r="B12" s="15" t="inlineStr">
        <is>
          <t>Jahresüberschuss</t>
        </is>
      </c>
      <c r="C12" s="16">
        <f>'ESWE KPIs'!C15</f>
        <v/>
      </c>
      <c r="D12" s="16">
        <f>'ESWE KPIs'!D15</f>
        <v/>
      </c>
      <c r="E12" s="16">
        <f>'ESWE KPIs'!E15</f>
        <v/>
      </c>
      <c r="F12" s="16">
        <f>'ESWE KPIs'!F15</f>
        <v/>
      </c>
      <c r="G12" s="16">
        <f>'ESWE KPIs'!G15</f>
        <v/>
      </c>
    </row>
    <row r="14">
      <c r="B14" s="4" t="inlineStr">
        <is>
          <t>Cashflow</t>
        </is>
      </c>
      <c r="C14" s="6" t="n">
        <v>2021</v>
      </c>
      <c r="D14" s="6" t="n">
        <v>2022</v>
      </c>
      <c r="E14" s="6" t="n">
        <v>2023</v>
      </c>
      <c r="F14" s="6" t="n">
        <v>2024</v>
      </c>
      <c r="G14" s="6" t="n">
        <v>2025</v>
      </c>
    </row>
    <row r="15">
      <c r="B15" s="8" t="inlineStr">
        <is>
          <t>Operating Cash Flow</t>
        </is>
      </c>
      <c r="C15" s="17">
        <f>'ESWE KPIs'!C17</f>
        <v/>
      </c>
      <c r="D15" s="17">
        <f>'ESWE KPIs'!D17</f>
        <v/>
      </c>
      <c r="E15" s="17">
        <f>'ESWE KPIs'!E17</f>
        <v/>
      </c>
      <c r="F15" s="17">
        <f>'ESWE KPIs'!F17</f>
        <v/>
      </c>
      <c r="G15" s="17">
        <f>'ESWE KPIs'!G17</f>
        <v/>
      </c>
    </row>
    <row r="16">
      <c r="B16" s="8" t="inlineStr">
        <is>
          <t>Investing Cash Flow</t>
        </is>
      </c>
      <c r="C16" s="17">
        <f>'ESWE KPIs'!C18</f>
        <v/>
      </c>
      <c r="D16" s="17">
        <f>'ESWE KPIs'!D18</f>
        <v/>
      </c>
      <c r="E16" s="17">
        <f>'ESWE KPIs'!E18</f>
        <v/>
      </c>
      <c r="F16" s="17">
        <f>'ESWE KPIs'!F18</f>
        <v/>
      </c>
      <c r="G16" s="17">
        <f>'ESWE KPIs'!G18</f>
        <v/>
      </c>
    </row>
    <row r="17">
      <c r="B17" s="20" t="inlineStr">
        <is>
          <t>Financing Cash Flow</t>
        </is>
      </c>
      <c r="C17" s="21">
        <f>'ESWE KPIs'!C19</f>
        <v/>
      </c>
      <c r="D17" s="21">
        <f>'ESWE KPIs'!D19</f>
        <v/>
      </c>
      <c r="E17" s="21">
        <f>'ESWE KPIs'!E19</f>
        <v/>
      </c>
      <c r="F17" s="21">
        <f>'ESWE KPIs'!F19</f>
        <v/>
      </c>
      <c r="G17" s="21">
        <f>'ESWE KPIs'!G19</f>
        <v/>
      </c>
    </row>
    <row r="18">
      <c r="B18" s="7" t="inlineStr">
        <is>
          <t>Cashflow gesamt</t>
        </is>
      </c>
      <c r="C18" s="22">
        <f>SUM(C15:C17)</f>
        <v/>
      </c>
      <c r="D18" s="22">
        <f>SUM(D15:D17)</f>
        <v/>
      </c>
      <c r="E18" s="22">
        <f>SUM(E15:E17)</f>
        <v/>
      </c>
      <c r="F18" s="22">
        <f>SUM(F15:F17)</f>
        <v/>
      </c>
      <c r="G18" s="22">
        <f>SUM(G15:G17)</f>
        <v/>
      </c>
    </row>
    <row r="20">
      <c r="B20" s="4" t="inlineStr">
        <is>
          <t>Vermögens- und Finanzlage</t>
        </is>
      </c>
      <c r="C20" s="6" t="n">
        <v>2021</v>
      </c>
      <c r="D20" s="6" t="n">
        <v>2022</v>
      </c>
      <c r="E20" s="6" t="n">
        <v>2023</v>
      </c>
      <c r="F20" s="6" t="n">
        <v>2024</v>
      </c>
      <c r="G20" s="6" t="n">
        <v>2025</v>
      </c>
    </row>
    <row r="21">
      <c r="B21" s="8" t="inlineStr">
        <is>
          <t>Bilanzsumme</t>
        </is>
      </c>
      <c r="C21" s="17">
        <f>'ESWE KPIs'!C22</f>
        <v/>
      </c>
      <c r="D21" s="17">
        <f>'ESWE KPIs'!D22</f>
        <v/>
      </c>
      <c r="E21" s="17">
        <f>'ESWE KPIs'!E22</f>
        <v/>
      </c>
      <c r="F21" s="17">
        <f>'ESWE KPIs'!F22</f>
        <v/>
      </c>
      <c r="G21" s="17">
        <f>'ESWE KPIs'!G22</f>
        <v/>
      </c>
    </row>
    <row r="22">
      <c r="B22" s="8" t="inlineStr">
        <is>
          <t>Eigenkapital</t>
        </is>
      </c>
      <c r="C22" s="17">
        <f>'ESWE KPIs'!C23</f>
        <v/>
      </c>
      <c r="D22" s="17">
        <f>'ESWE KPIs'!D23</f>
        <v/>
      </c>
      <c r="E22" s="17">
        <f>'ESWE KPIs'!E23</f>
        <v/>
      </c>
      <c r="F22" s="17">
        <f>'ESWE KPIs'!F23</f>
        <v/>
      </c>
      <c r="G22" s="17">
        <f>'ESWE KPIs'!G23</f>
        <v/>
      </c>
    </row>
    <row r="23">
      <c r="B23" s="15" t="inlineStr">
        <is>
          <t>Eigenkapitalquote</t>
        </is>
      </c>
      <c r="C23" s="23">
        <f>'ESWE KPIs'!C24</f>
        <v/>
      </c>
      <c r="D23" s="23">
        <f>'ESWE KPIs'!D24</f>
        <v/>
      </c>
      <c r="E23" s="23">
        <f>'ESWE KPIs'!E24</f>
        <v/>
      </c>
      <c r="F23" s="23">
        <f>'ESWE KPIs'!F24</f>
        <v/>
      </c>
      <c r="G23" s="23">
        <f>'ESWE KPIs'!G24</f>
        <v/>
      </c>
    </row>
    <row r="24">
      <c r="B24" s="8" t="inlineStr">
        <is>
          <t>Kassenbestand</t>
        </is>
      </c>
      <c r="C24" s="17">
        <f>'ESWE KPIs'!C27</f>
        <v/>
      </c>
      <c r="D24" s="17">
        <f>'ESWE KPIs'!D27</f>
        <v/>
      </c>
      <c r="E24" s="17">
        <f>'ESWE KPIs'!E27</f>
        <v/>
      </c>
      <c r="F24" s="17">
        <f>'ESWE KPIs'!F27</f>
        <v/>
      </c>
      <c r="G24" s="17">
        <f>'ESWE KPIs'!G27</f>
        <v/>
      </c>
    </row>
    <row r="25">
      <c r="B25" s="8" t="inlineStr">
        <is>
          <t>Finanzverbindlichkeiten</t>
        </is>
      </c>
      <c r="C25" s="17">
        <f>'ESWE KPIs'!C28</f>
        <v/>
      </c>
      <c r="D25" s="17">
        <f>'ESWE KPIs'!D28</f>
        <v/>
      </c>
      <c r="E25" s="17">
        <f>'ESWE KPIs'!E28</f>
        <v/>
      </c>
      <c r="F25" s="17">
        <f>'ESWE KPIs'!F28</f>
        <v/>
      </c>
      <c r="G25" s="17">
        <f>'ESWE KPIs'!G28</f>
        <v/>
      </c>
    </row>
    <row r="26">
      <c r="B26" s="7" t="inlineStr">
        <is>
          <t>Net Debt</t>
        </is>
      </c>
      <c r="C26" s="19">
        <f>'ESWE KPIs'!C29</f>
        <v/>
      </c>
      <c r="D26" s="19">
        <f>'ESWE KPIs'!D29</f>
        <v/>
      </c>
      <c r="E26" s="19">
        <f>'ESWE KPIs'!E29</f>
        <v/>
      </c>
      <c r="F26" s="19">
        <f>'ESWE KPIs'!F29</f>
        <v/>
      </c>
      <c r="G26" s="19">
        <f>'ESWE KPIs'!G29</f>
        <v/>
      </c>
    </row>
    <row r="27">
      <c r="B27" s="15" t="inlineStr">
        <is>
          <t>Net Debt / EBITDA</t>
        </is>
      </c>
      <c r="C27" s="24">
        <f>'ESWE KPIs'!C30</f>
        <v/>
      </c>
      <c r="D27" s="24">
        <f>'ESWE KPIs'!D30</f>
        <v/>
      </c>
      <c r="E27" s="24">
        <f>'ESWE KPIs'!E30</f>
        <v/>
      </c>
      <c r="F27" s="24">
        <f>'ESWE KPIs'!F30</f>
        <v/>
      </c>
      <c r="G27" s="24">
        <f>'ESWE KPIs'!G30</f>
        <v/>
      </c>
    </row>
    <row r="28">
      <c r="B28" s="15" t="inlineStr">
        <is>
          <t>Capex (Gesamtinvestitionen)</t>
        </is>
      </c>
      <c r="C28" s="16">
        <f>'ESWE KPIs'!C32</f>
        <v/>
      </c>
      <c r="D28" s="16">
        <f>'ESWE KPIs'!D32</f>
        <v/>
      </c>
      <c r="E28" s="16">
        <f>'ESWE KPIs'!E32</f>
        <v/>
      </c>
      <c r="F28" s="16">
        <f>'ESWE KPIs'!F32</f>
        <v/>
      </c>
      <c r="G28" s="16">
        <f>'ESWE KPIs'!G32</f>
        <v/>
      </c>
    </row>
    <row r="30">
      <c r="B30" s="4" t="inlineStr">
        <is>
          <t>Umsatzaufteilung</t>
        </is>
      </c>
      <c r="C30" s="6" t="n">
        <v>2021</v>
      </c>
      <c r="D30" s="6" t="n">
        <v>2022</v>
      </c>
      <c r="E30" s="6" t="n">
        <v>2023</v>
      </c>
      <c r="F30" s="6" t="n">
        <v>2024</v>
      </c>
      <c r="G30" s="6" t="n">
        <v>2025</v>
      </c>
    </row>
    <row r="31">
      <c r="B31" s="8" t="inlineStr">
        <is>
          <t>Stromversorgung (inkl. Handelsgeschäfte)</t>
        </is>
      </c>
      <c r="C31" s="17">
        <f>'ESWE Capex Revenue'!C7</f>
        <v/>
      </c>
      <c r="D31" s="17">
        <f>'ESWE Capex Revenue'!D7</f>
        <v/>
      </c>
      <c r="E31" s="17">
        <f>'ESWE Capex Revenue'!E7</f>
        <v/>
      </c>
      <c r="F31" s="17">
        <f>'ESWE Capex Revenue'!F7</f>
        <v/>
      </c>
      <c r="G31" s="17">
        <f>'ESWE Capex Revenue'!G7</f>
        <v/>
      </c>
    </row>
    <row r="32">
      <c r="B32" s="8" t="inlineStr">
        <is>
          <t>Gasversorgung (inkl. Handelsgeschäfte)</t>
        </is>
      </c>
      <c r="C32" s="17">
        <f>'ESWE Capex Revenue'!C8</f>
        <v/>
      </c>
      <c r="D32" s="17">
        <f>'ESWE Capex Revenue'!D8</f>
        <v/>
      </c>
      <c r="E32" s="17">
        <f>'ESWE Capex Revenue'!E8</f>
        <v/>
      </c>
      <c r="F32" s="17">
        <f>'ESWE Capex Revenue'!F8</f>
        <v/>
      </c>
      <c r="G32" s="17">
        <f>'ESWE Capex Revenue'!G8</f>
        <v/>
      </c>
    </row>
    <row r="33">
      <c r="B33" s="8" t="inlineStr">
        <is>
          <t>Wärmeversorgung</t>
        </is>
      </c>
      <c r="C33" s="17">
        <f>'ESWE Capex Revenue'!C9</f>
        <v/>
      </c>
      <c r="D33" s="17">
        <f>'ESWE Capex Revenue'!D9</f>
        <v/>
      </c>
      <c r="E33" s="17">
        <f>'ESWE Capex Revenue'!E9</f>
        <v/>
      </c>
      <c r="F33" s="17">
        <f>'ESWE Capex Revenue'!F9</f>
        <v/>
      </c>
      <c r="G33" s="17">
        <f>'ESWE Capex Revenue'!G9</f>
        <v/>
      </c>
    </row>
    <row r="34">
      <c r="B34" s="8" t="inlineStr">
        <is>
          <t>Betriebsführung Wasserversorgung</t>
        </is>
      </c>
      <c r="C34" s="17">
        <f>'ESWE Capex Revenue'!C10</f>
        <v/>
      </c>
      <c r="D34" s="17">
        <f>'ESWE Capex Revenue'!D10</f>
        <v/>
      </c>
      <c r="E34" s="17">
        <f>'ESWE Capex Revenue'!E10</f>
        <v/>
      </c>
      <c r="F34" s="17">
        <f>'ESWE Capex Revenue'!F10</f>
        <v/>
      </c>
      <c r="G34" s="17">
        <f>'ESWE Capex Revenue'!G10</f>
        <v/>
      </c>
    </row>
    <row r="35">
      <c r="B35" s="8" t="inlineStr">
        <is>
          <t>Wasserverkauf an WLW</t>
        </is>
      </c>
      <c r="C35" s="17">
        <f>'ESWE Capex Revenue'!C11</f>
        <v/>
      </c>
      <c r="D35" s="17">
        <f>'ESWE Capex Revenue'!D11</f>
        <v/>
      </c>
      <c r="E35" s="17">
        <f>'ESWE Capex Revenue'!E11</f>
        <v/>
      </c>
      <c r="F35" s="17">
        <f>'ESWE Capex Revenue'!F11</f>
        <v/>
      </c>
      <c r="G35" s="17">
        <f>'ESWE Capex Revenue'!G11</f>
        <v/>
      </c>
    </row>
    <row r="36">
      <c r="B36" s="8" t="inlineStr">
        <is>
          <t>Konzerninterne Dienstleistungen</t>
        </is>
      </c>
      <c r="C36" s="17">
        <f>'ESWE Capex Revenue'!C12</f>
        <v/>
      </c>
      <c r="D36" s="17">
        <f>'ESWE Capex Revenue'!D12</f>
        <v/>
      </c>
      <c r="E36" s="17">
        <f>'ESWE Capex Revenue'!E12</f>
        <v/>
      </c>
      <c r="F36" s="17">
        <f>'ESWE Capex Revenue'!F12</f>
        <v/>
      </c>
      <c r="G36" s="17">
        <f>'ESWE Capex Revenue'!G12</f>
        <v/>
      </c>
    </row>
    <row r="37">
      <c r="B37" s="8" t="inlineStr">
        <is>
          <t>Übrige Umsatzerlöse</t>
        </is>
      </c>
      <c r="C37" s="17">
        <f>'ESWE Capex Revenue'!C13</f>
        <v/>
      </c>
      <c r="D37" s="17">
        <f>'ESWE Capex Revenue'!D13</f>
        <v/>
      </c>
      <c r="E37" s="17">
        <f>'ESWE Capex Revenue'!E13</f>
        <v/>
      </c>
      <c r="F37" s="17">
        <f>'ESWE Capex Revenue'!F13</f>
        <v/>
      </c>
      <c r="G37" s="17">
        <f>'ESWE Capex Revenue'!G13</f>
        <v/>
      </c>
    </row>
    <row r="38">
      <c r="B38" s="25" t="inlineStr">
        <is>
          <t>Umsätze lt. GuV</t>
        </is>
      </c>
      <c r="C38" s="26">
        <f>SUM(C31:C37)</f>
        <v/>
      </c>
      <c r="D38" s="26">
        <f>SUM(D31:D37)</f>
        <v/>
      </c>
      <c r="E38" s="26">
        <f>SUM(E31:E37)</f>
        <v/>
      </c>
      <c r="F38" s="26">
        <f>SUM(F31:F37)</f>
        <v/>
      </c>
      <c r="G38" s="26">
        <f>SUM(G31:G37)</f>
        <v/>
      </c>
    </row>
    <row r="40">
      <c r="B40" s="8" t="inlineStr">
        <is>
          <t>Anteil Strom / Gas am Umsatz</t>
        </is>
      </c>
      <c r="C40" s="27">
        <f>IFERROR((C31+C32)/C38,0)</f>
        <v/>
      </c>
      <c r="D40" s="27">
        <f>IFERROR((D31+D32)/D38,0)</f>
        <v/>
      </c>
      <c r="E40" s="27">
        <f>IFERROR((E31+E32)/E38,0)</f>
        <v/>
      </c>
      <c r="F40" s="27">
        <f>IFERROR((F31+F32)/F38,0)</f>
        <v/>
      </c>
      <c r="G40" s="27">
        <f>IFERROR((G31+G32)/G38,0)</f>
        <v/>
      </c>
    </row>
    <row r="42">
      <c r="B42" s="14" t="inlineStr">
        <is>
          <t>Methodik: Net Debt = Verbindlichkeiten gegenüber Kreditinstituten abzüglich Kassenbestand und Guthaben bei Kreditinstituten. Intercompany-Finanzierungen, empfangene Ertragszuschüsse und Rückstellungen sind nicht einbezogen, da eine belastbare Trennung von operativen und finanzierungsbezogenen Positionen aus dem veröffentlichten Einzelabschluss nicht durchgängig möglich ist. Gesamtleistung = Umsatzerlöse zzgl. Bestandsveränderung und anderer aktivierter Eigenleistungen. Rohertrag = Gesamtleistung abzüglich Materialaufwand. EBITDA = Betriebliches Ergebnis zzgl. Abschreibungen auf immaterielle Vermögensgegenstände und Sachanlagen. Sämtliche Werte dieses Blattes sind Verweise (grün) auf die Detailblätter.</t>
        </is>
      </c>
    </row>
    <row r="43"/>
    <row r="45">
      <c r="B45" s="14" t="inlineStr">
        <is>
          <t>Die Umsatzaufteilung folgt der im Geschäftsbericht 2025 verwendeten siebenzeiligen Gliederung. Für 2021 bis 2024 wurden die in den Jahresabschlüssen separat ausgewiesenen Positionen entsprechend zusammengefasst (Strom- und Gashandel in die jeweilige Sparte, Tankstelle und Auflösung empfangener Ertragszuschüsse in die übrigen Umsatzerlöse). Siehe Blatt „Quellen &amp; Hinweise“.</t>
        </is>
      </c>
    </row>
    <row r="46"/>
  </sheetData>
  <mergeCells count="2">
    <mergeCell ref="B45:G46"/>
    <mergeCell ref="B42:G43"/>
  </mergeCells>
  <pageMargins left="0.75" right="0.75" top="1" bottom="1" header="0.5" footer="0.5"/>
</worksheet>
</file>

<file path=xl/worksheets/sheet4.xml><?xml version="1.0" encoding="utf-8"?>
<worksheet xmlns="http://schemas.openxmlformats.org/spreadsheetml/2006/main">
  <sheetPr>
    <tabColor rgb="00808080"/>
    <outlinePr summaryBelow="1" summaryRight="1"/>
    <pageSetUpPr/>
  </sheetPr>
  <dimension ref="A1:A1"/>
  <sheetViews>
    <sheetView showGridLines="0"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36"/>
  <sheetViews>
    <sheetView showGridLines="0" workbookViewId="0">
      <selection activeCell="A1" sqref="A1"/>
    </sheetView>
  </sheetViews>
  <sheetFormatPr baseColWidth="8" defaultRowHeight="15"/>
  <cols>
    <col width="9" customWidth="1" min="1" max="1"/>
    <col width="78" customWidth="1" min="2" max="2"/>
    <col width="14" customWidth="1" min="3" max="3"/>
    <col width="14" customWidth="1" min="4" max="4"/>
    <col width="14" customWidth="1" min="5" max="5"/>
    <col width="14" customWidth="1" min="6" max="6"/>
    <col width="14" customWidth="1" min="7" max="7"/>
    <col width="9" customWidth="1" min="8" max="8"/>
  </cols>
  <sheetData>
    <row r="2" ht="21" customHeight="1">
      <c r="B2" s="28" t="inlineStr">
        <is>
          <t>ESWE Versorgungs AG – Bilanz zum 31. Dezember 2021–2025</t>
        </is>
      </c>
      <c r="C2" s="28" t="n"/>
      <c r="D2" s="28" t="n"/>
      <c r="E2" s="28" t="n"/>
      <c r="F2" s="28" t="n"/>
      <c r="G2" s="28" t="n"/>
    </row>
    <row r="3">
      <c r="B3" s="4" t="inlineStr">
        <is>
          <t>EUR Mio.</t>
        </is>
      </c>
      <c r="C3" s="6" t="n">
        <v>2021</v>
      </c>
      <c r="D3" s="6">
        <f>C3+1</f>
        <v/>
      </c>
      <c r="E3" s="6">
        <f>D3+1</f>
        <v/>
      </c>
      <c r="F3" s="6">
        <f>E3+1</f>
        <v/>
      </c>
      <c r="G3" s="6">
        <f>F3+1</f>
        <v/>
      </c>
    </row>
    <row r="5">
      <c r="B5" s="7" t="inlineStr">
        <is>
          <t>AKTIVA</t>
        </is>
      </c>
    </row>
    <row r="6">
      <c r="B6" s="29" t="inlineStr">
        <is>
          <t>A. Anlagevermögen (1)</t>
        </is>
      </c>
      <c r="C6" s="30">
        <f>SUM(C7:C9)</f>
        <v/>
      </c>
      <c r="D6" s="30">
        <f>SUM(D7:D9)</f>
        <v/>
      </c>
      <c r="E6" s="30">
        <f>SUM(E7:E9)</f>
        <v/>
      </c>
      <c r="F6" s="30">
        <f>SUM(F7:F9)</f>
        <v/>
      </c>
      <c r="G6" s="30">
        <f>SUM(G7:G9)</f>
        <v/>
      </c>
    </row>
    <row r="7">
      <c r="B7" s="31" t="inlineStr">
        <is>
          <t>I. Immaterielle Vermögensgegenstände</t>
        </is>
      </c>
      <c r="C7" s="32" t="n">
        <v>1.044</v>
      </c>
      <c r="D7" s="32" t="n">
        <v>0.8110000000000001</v>
      </c>
      <c r="E7" s="32" t="n">
        <v>0.658</v>
      </c>
      <c r="F7" s="32" t="n">
        <v>0.877</v>
      </c>
      <c r="G7" s="32" t="n">
        <v>0.764</v>
      </c>
    </row>
    <row r="8">
      <c r="B8" s="31" t="inlineStr">
        <is>
          <t>II. Sachanlagen</t>
        </is>
      </c>
      <c r="C8" s="32" t="n">
        <v>174.058</v>
      </c>
      <c r="D8" s="32" t="n">
        <v>189.12</v>
      </c>
      <c r="E8" s="32" t="n">
        <v>197.803</v>
      </c>
      <c r="F8" s="32" t="n">
        <v>209.24</v>
      </c>
      <c r="G8" s="32" t="n">
        <v>223.938</v>
      </c>
    </row>
    <row r="9">
      <c r="B9" s="31" t="inlineStr">
        <is>
          <t>III. Finanzanlagen</t>
        </is>
      </c>
      <c r="C9" s="32" t="n">
        <v>148.234</v>
      </c>
      <c r="D9" s="32" t="n">
        <v>170.186</v>
      </c>
      <c r="E9" s="32" t="n">
        <v>171.96</v>
      </c>
      <c r="F9" s="32" t="n">
        <v>165.19</v>
      </c>
      <c r="G9" s="32" t="n">
        <v>170.025</v>
      </c>
    </row>
    <row r="11">
      <c r="B11" s="29" t="inlineStr">
        <is>
          <t>B. Umlaufvermögen</t>
        </is>
      </c>
      <c r="C11" s="30">
        <f>SUM(C12:C14)</f>
        <v/>
      </c>
      <c r="D11" s="30">
        <f>SUM(D12:D14)</f>
        <v/>
      </c>
      <c r="E11" s="30">
        <f>SUM(E12:E14)</f>
        <v/>
      </c>
      <c r="F11" s="30">
        <f>SUM(F12:F14)</f>
        <v/>
      </c>
      <c r="G11" s="30">
        <f>SUM(G12:G14)</f>
        <v/>
      </c>
    </row>
    <row r="12">
      <c r="B12" s="31" t="inlineStr">
        <is>
          <t>I. Vorräte (2)</t>
        </is>
      </c>
      <c r="C12" s="32" t="n">
        <v>7.162</v>
      </c>
      <c r="D12" s="32" t="n">
        <v>8.157999999999999</v>
      </c>
      <c r="E12" s="32" t="n">
        <v>15.439</v>
      </c>
      <c r="F12" s="32" t="n">
        <v>18.356</v>
      </c>
      <c r="G12" s="32" t="n">
        <v>17.857</v>
      </c>
    </row>
    <row r="13">
      <c r="B13" s="31" t="inlineStr">
        <is>
          <t>II. Forderungen und sonstige Vermögensgegenstände (3)</t>
        </is>
      </c>
      <c r="C13" s="32" t="n">
        <v>48.391</v>
      </c>
      <c r="D13" s="32" t="n">
        <v>17.853</v>
      </c>
      <c r="E13" s="32" t="n">
        <v>46.747</v>
      </c>
      <c r="F13" s="32" t="n">
        <v>43.316</v>
      </c>
      <c r="G13" s="32" t="n">
        <v>63.663</v>
      </c>
    </row>
    <row r="14">
      <c r="B14" s="31" t="inlineStr">
        <is>
          <t>III. Kassenbestand und Guthaben bei Kreditinstituten</t>
        </is>
      </c>
      <c r="C14" s="32" t="n">
        <v>3.616</v>
      </c>
      <c r="D14" s="32" t="n">
        <v>30.611</v>
      </c>
      <c r="E14" s="32" t="n">
        <v>44.992</v>
      </c>
      <c r="F14" s="32" t="n">
        <v>21.543</v>
      </c>
      <c r="G14" s="32" t="n">
        <v>2.517</v>
      </c>
    </row>
    <row r="16">
      <c r="B16" s="7" t="inlineStr">
        <is>
          <t>C. Rechnungsabgrenzungsposten</t>
        </is>
      </c>
      <c r="C16" s="33" t="n">
        <v>2.468</v>
      </c>
      <c r="D16" s="33" t="n">
        <v>3.089</v>
      </c>
      <c r="E16" s="33" t="n">
        <v>3.588</v>
      </c>
      <c r="F16" s="33" t="n">
        <v>0.581</v>
      </c>
      <c r="G16" s="33" t="n">
        <v>0.819</v>
      </c>
    </row>
    <row r="17">
      <c r="B17" s="25" t="inlineStr">
        <is>
          <t>Bilanzsumme Aktiva</t>
        </is>
      </c>
      <c r="C17" s="26">
        <f>C6+C11+C16</f>
        <v/>
      </c>
      <c r="D17" s="26">
        <f>D6+D11+D16</f>
        <v/>
      </c>
      <c r="E17" s="26">
        <f>E6+E11+E16</f>
        <v/>
      </c>
      <c r="F17" s="26">
        <f>F6+F11+F16</f>
        <v/>
      </c>
      <c r="G17" s="26">
        <f>G6+G11+G16</f>
        <v/>
      </c>
    </row>
    <row r="19">
      <c r="B19" s="7" t="inlineStr">
        <is>
          <t>PASSIVA</t>
        </is>
      </c>
    </row>
    <row r="20">
      <c r="B20" s="29" t="inlineStr">
        <is>
          <t>A. Eigenkapital (4)</t>
        </is>
      </c>
      <c r="C20" s="30">
        <f>SUM(C21:C24)</f>
        <v/>
      </c>
      <c r="D20" s="30">
        <f>SUM(D21:D24)</f>
        <v/>
      </c>
      <c r="E20" s="30">
        <f>SUM(E21:E24)</f>
        <v/>
      </c>
      <c r="F20" s="30">
        <f>SUM(F21:F24)</f>
        <v/>
      </c>
      <c r="G20" s="30">
        <f>SUM(G21:G24)</f>
        <v/>
      </c>
    </row>
    <row r="21">
      <c r="B21" s="31" t="inlineStr">
        <is>
          <t>I. Gezeichnetes Kapital</t>
        </is>
      </c>
      <c r="C21" s="32" t="n">
        <v>66.01300000000001</v>
      </c>
      <c r="D21" s="32" t="n">
        <v>66.01300000000001</v>
      </c>
      <c r="E21" s="32" t="n">
        <v>66.01300000000001</v>
      </c>
      <c r="F21" s="32" t="n">
        <v>66.01300000000001</v>
      </c>
      <c r="G21" s="32" t="n">
        <v>66.01300000000001</v>
      </c>
    </row>
    <row r="22">
      <c r="B22" s="31" t="inlineStr">
        <is>
          <t>II. Kapitalrücklage</t>
        </is>
      </c>
      <c r="C22" s="32" t="n">
        <v>25.426</v>
      </c>
      <c r="D22" s="32" t="n">
        <v>25.426</v>
      </c>
      <c r="E22" s="32" t="n">
        <v>25.426</v>
      </c>
      <c r="F22" s="32" t="n">
        <v>25.426</v>
      </c>
      <c r="G22" s="32" t="n">
        <v>35.426</v>
      </c>
    </row>
    <row r="23">
      <c r="B23" s="31" t="inlineStr">
        <is>
          <t>III. Gewinnrücklagen</t>
        </is>
      </c>
      <c r="C23" s="32" t="n">
        <v>25.131</v>
      </c>
      <c r="D23" s="32" t="n">
        <v>25.131</v>
      </c>
      <c r="E23" s="32" t="n">
        <v>35.131</v>
      </c>
      <c r="F23" s="32" t="n">
        <v>35.131</v>
      </c>
      <c r="G23" s="32" t="n">
        <v>35.131</v>
      </c>
    </row>
    <row r="24">
      <c r="B24" s="31" t="inlineStr">
        <is>
          <t>IV. Bilanzgewinn</t>
        </is>
      </c>
      <c r="C24" s="32" t="n">
        <v>0</v>
      </c>
      <c r="D24" s="32" t="n">
        <v>0</v>
      </c>
      <c r="E24" s="32" t="n">
        <v>0</v>
      </c>
      <c r="F24" s="32" t="n">
        <v>0</v>
      </c>
      <c r="G24" s="32" t="n">
        <v>0</v>
      </c>
    </row>
    <row r="26">
      <c r="B26" s="7" t="inlineStr">
        <is>
          <t>B. Empfangene Ertragszuschüsse</t>
        </is>
      </c>
      <c r="C26" s="33" t="n">
        <v>28.577</v>
      </c>
      <c r="D26" s="33" t="n">
        <v>28.9</v>
      </c>
      <c r="E26" s="33" t="n">
        <v>28.009</v>
      </c>
      <c r="F26" s="33" t="n">
        <v>27.685</v>
      </c>
      <c r="G26" s="33" t="n">
        <v>29.619</v>
      </c>
    </row>
    <row r="27">
      <c r="B27" s="7" t="inlineStr">
        <is>
          <t>C. Rückstellungen (5)</t>
        </is>
      </c>
      <c r="C27" s="33" t="n">
        <v>95.422</v>
      </c>
      <c r="D27" s="33" t="n">
        <v>90.794</v>
      </c>
      <c r="E27" s="33" t="n">
        <v>111.63</v>
      </c>
      <c r="F27" s="33" t="n">
        <v>91.974</v>
      </c>
      <c r="G27" s="33" t="n">
        <v>92.117</v>
      </c>
    </row>
    <row r="28">
      <c r="B28" s="7" t="inlineStr">
        <is>
          <t>D. Verbindlichkeiten (6)</t>
        </is>
      </c>
      <c r="C28" s="33" t="n">
        <v>144.38</v>
      </c>
      <c r="D28" s="33" t="n">
        <v>183.564</v>
      </c>
      <c r="E28" s="33" t="n">
        <v>214.912</v>
      </c>
      <c r="F28" s="33" t="n">
        <v>212.874</v>
      </c>
      <c r="G28" s="33" t="n">
        <v>221.277</v>
      </c>
    </row>
    <row r="29">
      <c r="B29" s="31" t="inlineStr">
        <is>
          <t>davon gegenüber Kreditinstituten</t>
        </is>
      </c>
      <c r="C29" s="32" t="n">
        <v>79</v>
      </c>
      <c r="D29" s="32" t="n">
        <v>98.65900000000001</v>
      </c>
      <c r="E29" s="32" t="n">
        <v>110.748</v>
      </c>
      <c r="F29" s="32" t="n">
        <v>119.911</v>
      </c>
      <c r="G29" s="32" t="n">
        <v>124.179</v>
      </c>
    </row>
    <row r="30">
      <c r="B30" s="7" t="inlineStr">
        <is>
          <t>E. Rechnungsabgrenzungsposten</t>
        </is>
      </c>
      <c r="C30" s="33" t="n">
        <v>0.024</v>
      </c>
      <c r="D30" s="33" t="n">
        <v>0</v>
      </c>
      <c r="E30" s="33" t="n">
        <v>0.066</v>
      </c>
      <c r="F30" s="33" t="n">
        <v>0</v>
      </c>
      <c r="G30" s="33" t="n">
        <v>0</v>
      </c>
    </row>
    <row r="31">
      <c r="B31" s="25" t="inlineStr">
        <is>
          <t>Bilanzsumme Passiva</t>
        </is>
      </c>
      <c r="C31" s="26">
        <f>C20+C26+C27+C28+C30</f>
        <v/>
      </c>
      <c r="D31" s="26">
        <f>D20+D26+D27+D28+D30</f>
        <v/>
      </c>
      <c r="E31" s="26">
        <f>E20+E26+E27+E28+E30</f>
        <v/>
      </c>
      <c r="F31" s="26">
        <f>F20+F26+F27+F28+F30</f>
        <v/>
      </c>
      <c r="G31" s="26">
        <f>G20+G26+G27+G28+G30</f>
        <v/>
      </c>
    </row>
    <row r="33">
      <c r="B33" s="8" t="inlineStr">
        <is>
          <t>Kontrolle: Bilanzsumme Aktiva ./. Passiva (muss 0 sein)</t>
        </is>
      </c>
      <c r="C33" s="34">
        <f>ROUND(C17-C31,6)</f>
        <v/>
      </c>
      <c r="D33" s="34">
        <f>ROUND(D17-D31,6)</f>
        <v/>
      </c>
      <c r="E33" s="34">
        <f>ROUND(E17-E31,6)</f>
        <v/>
      </c>
      <c r="F33" s="34">
        <f>ROUND(F17-F31,6)</f>
        <v/>
      </c>
      <c r="G33" s="34">
        <f>ROUND(G17-G31,6)</f>
        <v/>
      </c>
    </row>
    <row r="35">
      <c r="B35" s="14" t="inlineStr">
        <is>
          <t>Quelle: Unternehmensregister – ESWE Versorgungs AG, Wiesbaden, HRB 2105 (Amtsgericht Wiesbaden): Jahresabschluss 2021 (GJ 2021), 2022 (GJ 2022), 2023 (GJ 2023) und 2024 (GJ 2024); Geschäftsbericht 2025, Seite 73 (GJ 2025). Beträge in T€ veröffentlicht und hier in EUR Mio. dargestellt. Die Position „davon gegenüber Kreditinstituten“ stammt aus dem Verbindlichkeitenspiegel im Anhang (JA 2021 S. 17, JA 2022 S. 18, JA 2023 S. 8, JA 2024 S. 7, GB 2025 S. 82) und ist nachrichtlich ausgewiesen; sie geht nicht in die Bilanzsumme ein.</t>
        </is>
      </c>
    </row>
    <row r="36"/>
  </sheetData>
  <mergeCells count="1">
    <mergeCell ref="B35:G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G34"/>
  <sheetViews>
    <sheetView showGridLines="0" workbookViewId="0">
      <selection activeCell="A1" sqref="A1"/>
    </sheetView>
  </sheetViews>
  <sheetFormatPr baseColWidth="8" defaultRowHeight="15"/>
  <cols>
    <col width="9" customWidth="1" min="1" max="1"/>
    <col width="78" customWidth="1" min="2" max="2"/>
    <col width="14" customWidth="1" min="3" max="3"/>
    <col width="14" customWidth="1" min="4" max="4"/>
    <col width="14" customWidth="1" min="5" max="5"/>
    <col width="14" customWidth="1" min="6" max="6"/>
    <col width="14" customWidth="1" min="7" max="7"/>
    <col width="9" customWidth="1" min="8" max="8"/>
  </cols>
  <sheetData>
    <row r="2" ht="21" customHeight="1">
      <c r="B2" s="28" t="inlineStr">
        <is>
          <t>ESWE Versorgungs AG – Gewinn- und Verlustrechnung 2021–2025</t>
        </is>
      </c>
      <c r="C2" s="28" t="n"/>
      <c r="D2" s="28" t="n"/>
      <c r="E2" s="28" t="n"/>
      <c r="F2" s="28" t="n"/>
      <c r="G2" s="28" t="n"/>
    </row>
    <row r="3">
      <c r="B3" s="4" t="inlineStr">
        <is>
          <t>EUR Mio.</t>
        </is>
      </c>
      <c r="C3" s="6" t="n">
        <v>2021</v>
      </c>
      <c r="D3" s="6">
        <f>C3+1</f>
        <v/>
      </c>
      <c r="E3" s="6">
        <f>D3+1</f>
        <v/>
      </c>
      <c r="F3" s="6">
        <f>E3+1</f>
        <v/>
      </c>
      <c r="G3" s="6">
        <f>F3+1</f>
        <v/>
      </c>
    </row>
    <row r="5">
      <c r="B5" s="7" t="inlineStr">
        <is>
          <t>1. Umsatzerlöse (10)</t>
        </is>
      </c>
      <c r="C5" s="33" t="n">
        <v>426.532</v>
      </c>
      <c r="D5" s="33" t="n">
        <v>475.683</v>
      </c>
      <c r="E5" s="33" t="n">
        <v>634.062</v>
      </c>
      <c r="F5" s="33" t="n">
        <v>534.653</v>
      </c>
      <c r="G5" s="33" t="n">
        <v>473.77</v>
      </c>
    </row>
    <row r="6">
      <c r="B6" s="8" t="inlineStr">
        <is>
          <t>2. Veränderung des Bestands an unfertigen Leistungen</t>
        </is>
      </c>
      <c r="C6" s="32" t="n">
        <v>-0.332</v>
      </c>
      <c r="D6" s="32" t="n">
        <v>0.86</v>
      </c>
      <c r="E6" s="32" t="n">
        <v>0.8110000000000001</v>
      </c>
      <c r="F6" s="32" t="n">
        <v>0.06900000000000001</v>
      </c>
      <c r="G6" s="32" t="n">
        <v>-0.545</v>
      </c>
    </row>
    <row r="7">
      <c r="B7" s="8" t="inlineStr">
        <is>
          <t>3. Andere aktivierte Eigenleistungen (11)</t>
        </is>
      </c>
      <c r="C7" s="32" t="n">
        <v>3.399</v>
      </c>
      <c r="D7" s="32" t="n">
        <v>3.309</v>
      </c>
      <c r="E7" s="32" t="n">
        <v>1.873</v>
      </c>
      <c r="F7" s="32" t="n">
        <v>2.674</v>
      </c>
      <c r="G7" s="32" t="n">
        <v>2.992</v>
      </c>
    </row>
    <row r="8">
      <c r="B8" s="8" t="inlineStr">
        <is>
          <t>4. Sonstige betriebliche Erträge (12)</t>
        </is>
      </c>
      <c r="C8" s="32" t="n">
        <v>2.486</v>
      </c>
      <c r="D8" s="32" t="n">
        <v>5.989</v>
      </c>
      <c r="E8" s="32" t="n">
        <v>6.383</v>
      </c>
      <c r="F8" s="32" t="n">
        <v>30.279</v>
      </c>
      <c r="G8" s="32" t="n">
        <v>9.708</v>
      </c>
    </row>
    <row r="9">
      <c r="B9" s="8" t="inlineStr">
        <is>
          <t>5. Materialaufwand (13)</t>
        </is>
      </c>
      <c r="C9" s="32" t="n">
        <v>311.386</v>
      </c>
      <c r="D9" s="32" t="n">
        <v>356.302</v>
      </c>
      <c r="E9" s="32" t="n">
        <v>483.927</v>
      </c>
      <c r="F9" s="32" t="n">
        <v>387.16</v>
      </c>
      <c r="G9" s="32" t="n">
        <v>341.791</v>
      </c>
    </row>
    <row r="10">
      <c r="B10" s="8" t="inlineStr">
        <is>
          <t>6. Personalaufwand (14)</t>
        </is>
      </c>
      <c r="C10" s="32" t="n">
        <v>50.803</v>
      </c>
      <c r="D10" s="32" t="n">
        <v>52.128</v>
      </c>
      <c r="E10" s="32" t="n">
        <v>52.026</v>
      </c>
      <c r="F10" s="32" t="n">
        <v>55.317</v>
      </c>
      <c r="G10" s="32" t="n">
        <v>60.837</v>
      </c>
    </row>
    <row r="11">
      <c r="B11" s="8" t="inlineStr">
        <is>
          <t>7. Abschreibungen (15)</t>
        </is>
      </c>
      <c r="C11" s="32" t="n">
        <v>14.18</v>
      </c>
      <c r="D11" s="32" t="n">
        <v>14.545</v>
      </c>
      <c r="E11" s="32" t="n">
        <v>14.57</v>
      </c>
      <c r="F11" s="32" t="n">
        <v>15.673</v>
      </c>
      <c r="G11" s="32" t="n">
        <v>16.427</v>
      </c>
    </row>
    <row r="12">
      <c r="B12" s="8" t="inlineStr">
        <is>
          <t>8. Sonstige betriebliche Aufwendungen (16)</t>
        </is>
      </c>
      <c r="C12" s="32" t="n">
        <v>35.338</v>
      </c>
      <c r="D12" s="32" t="n">
        <v>26.581</v>
      </c>
      <c r="E12" s="32" t="n">
        <v>49.684</v>
      </c>
      <c r="F12" s="32" t="n">
        <v>36.261</v>
      </c>
      <c r="G12" s="32" t="n">
        <v>38.141</v>
      </c>
    </row>
    <row r="13">
      <c r="B13" s="25" t="inlineStr">
        <is>
          <t>9. Betriebliches Ergebnis</t>
        </is>
      </c>
      <c r="C13" s="26">
        <f>SUM(C5:C8)-SUM(C9:C12)</f>
        <v/>
      </c>
      <c r="D13" s="26">
        <f>SUM(D5:D8)-SUM(D9:D12)</f>
        <v/>
      </c>
      <c r="E13" s="26">
        <f>SUM(E5:E8)-SUM(E9:E12)</f>
        <v/>
      </c>
      <c r="F13" s="26">
        <f>SUM(F5:F8)-SUM(F9:F12)</f>
        <v/>
      </c>
      <c r="G13" s="26">
        <f>SUM(G5:G8)-SUM(G9:G12)</f>
        <v/>
      </c>
    </row>
    <row r="15">
      <c r="B15" s="8" t="inlineStr">
        <is>
          <t>10. Beteiligungsergebnis (17)</t>
        </is>
      </c>
      <c r="C15" s="32" t="n">
        <v>24.466</v>
      </c>
      <c r="D15" s="32" t="n">
        <v>17.558</v>
      </c>
      <c r="E15" s="32" t="n">
        <v>30.534</v>
      </c>
      <c r="F15" s="32" t="n">
        <v>17.765</v>
      </c>
      <c r="G15" s="32" t="n">
        <v>25.06</v>
      </c>
    </row>
    <row r="16">
      <c r="B16" s="8" t="inlineStr">
        <is>
          <t>11. Abschreibungen auf Finanzanlagen (18)</t>
        </is>
      </c>
      <c r="C16" s="32" t="n">
        <v>0</v>
      </c>
      <c r="D16" s="32" t="n">
        <v>2.037</v>
      </c>
      <c r="E16" s="32" t="n">
        <v>0</v>
      </c>
      <c r="F16" s="32" t="n">
        <v>8.965</v>
      </c>
      <c r="G16" s="32" t="n">
        <v>0.388</v>
      </c>
    </row>
    <row r="17">
      <c r="B17" s="8" t="inlineStr">
        <is>
          <t>12. Zinsergebnis (19)</t>
        </is>
      </c>
      <c r="C17" s="32" t="n">
        <v>-0.767</v>
      </c>
      <c r="D17" s="32" t="n">
        <v>-0.049</v>
      </c>
      <c r="E17" s="32" t="n">
        <v>1.281</v>
      </c>
      <c r="F17" s="32" t="n">
        <v>2.218</v>
      </c>
      <c r="G17" s="32" t="n">
        <v>-0.751</v>
      </c>
    </row>
    <row r="18">
      <c r="B18" s="25" t="inlineStr">
        <is>
          <t>13. Ergebnis vor Steuern</t>
        </is>
      </c>
      <c r="C18" s="26">
        <f>C13+C15-C16+C17</f>
        <v/>
      </c>
      <c r="D18" s="26">
        <f>D13+D15-D16+D17</f>
        <v/>
      </c>
      <c r="E18" s="26">
        <f>E13+E15-E16+E17</f>
        <v/>
      </c>
      <c r="F18" s="26">
        <f>F13+F15-F16+F17</f>
        <v/>
      </c>
      <c r="G18" s="26">
        <f>G13+G15-G16+G17</f>
        <v/>
      </c>
    </row>
    <row r="20">
      <c r="B20" s="8" t="inlineStr">
        <is>
          <t>14. Steuern vom Einkommen und vom Ertrag (20)</t>
        </is>
      </c>
      <c r="C20" s="32" t="n">
        <v>3.034</v>
      </c>
      <c r="D20" s="32" t="n">
        <v>3.214</v>
      </c>
      <c r="E20" s="32" t="n">
        <v>3.939</v>
      </c>
      <c r="F20" s="32" t="n">
        <v>5.544</v>
      </c>
      <c r="G20" s="32" t="n">
        <v>3.494</v>
      </c>
    </row>
    <row r="21">
      <c r="B21" s="25" t="inlineStr">
        <is>
          <t>15. Ergebnis nach Steuern</t>
        </is>
      </c>
      <c r="C21" s="26">
        <f>C18-C20</f>
        <v/>
      </c>
      <c r="D21" s="26">
        <f>D18-D20</f>
        <v/>
      </c>
      <c r="E21" s="26">
        <f>E18-E20</f>
        <v/>
      </c>
      <c r="F21" s="26">
        <f>F18-F20</f>
        <v/>
      </c>
      <c r="G21" s="26">
        <f>G18-G20</f>
        <v/>
      </c>
    </row>
    <row r="23">
      <c r="B23" s="8" t="inlineStr">
        <is>
          <t>16. Sonstige Steuern (21)</t>
        </is>
      </c>
      <c r="C23" s="32" t="n">
        <v>0.3</v>
      </c>
      <c r="D23" s="32" t="n">
        <v>0.308</v>
      </c>
      <c r="E23" s="32" t="n">
        <v>0.237</v>
      </c>
      <c r="F23" s="32" t="n">
        <v>0.44</v>
      </c>
      <c r="G23" s="32" t="n">
        <v>0.271</v>
      </c>
    </row>
    <row r="24">
      <c r="B24" s="25" t="inlineStr">
        <is>
          <t>17. Unternehmensergebnis / Jahresüberschuss</t>
        </is>
      </c>
      <c r="C24" s="26">
        <f>C21-C23</f>
        <v/>
      </c>
      <c r="D24" s="26">
        <f>D21-D23</f>
        <v/>
      </c>
      <c r="E24" s="26">
        <f>E21-E23</f>
        <v/>
      </c>
      <c r="F24" s="26">
        <f>F21-F23</f>
        <v/>
      </c>
      <c r="G24" s="26">
        <f>G21-G23</f>
        <v/>
      </c>
    </row>
    <row r="26">
      <c r="B26" s="8" t="inlineStr">
        <is>
          <t>18. Einstellung in die anderen Gewinnrücklagen (22)</t>
        </is>
      </c>
      <c r="C26" s="32" t="n">
        <v>0</v>
      </c>
      <c r="D26" s="32" t="n">
        <v>0</v>
      </c>
      <c r="E26" s="32" t="n">
        <v>10</v>
      </c>
      <c r="F26" s="32" t="n">
        <v>0</v>
      </c>
      <c r="G26" s="32" t="n">
        <v>0</v>
      </c>
    </row>
    <row r="27">
      <c r="B27" s="8" t="inlineStr">
        <is>
          <t>19. Aufwendungen für Ausgleichszahlung</t>
        </is>
      </c>
      <c r="C27" s="32" t="n">
        <v>16.295</v>
      </c>
      <c r="D27" s="32" t="n">
        <v>17.312</v>
      </c>
      <c r="E27" s="32" t="n">
        <v>21.109</v>
      </c>
      <c r="F27" s="32" t="n">
        <v>29.779</v>
      </c>
      <c r="G27" s="32" t="n">
        <v>18.768</v>
      </c>
    </row>
    <row r="28">
      <c r="B28" s="8" t="inlineStr">
        <is>
          <t>20. Aufgrund eines Ergebnisabführungsvertrags abgeführter Gewinn</t>
        </is>
      </c>
      <c r="C28" s="32" t="n">
        <v>24.448</v>
      </c>
      <c r="D28" s="32" t="n">
        <v>30.923</v>
      </c>
      <c r="E28" s="32" t="n">
        <v>39.452</v>
      </c>
      <c r="F28" s="32" t="n">
        <v>48.519</v>
      </c>
      <c r="G28" s="32" t="n">
        <v>30.117</v>
      </c>
    </row>
    <row r="29">
      <c r="B29" s="25" t="inlineStr">
        <is>
          <t>21. Bilanzgewinn</t>
        </is>
      </c>
      <c r="C29" s="26">
        <f>C24-SUM(C26:C28)</f>
        <v/>
      </c>
      <c r="D29" s="26">
        <f>D24-SUM(D26:D28)</f>
        <v/>
      </c>
      <c r="E29" s="26">
        <f>E24-SUM(E26:E28)</f>
        <v/>
      </c>
      <c r="F29" s="26">
        <f>F24-SUM(F26:F28)</f>
        <v/>
      </c>
      <c r="G29" s="26">
        <f>G24-SUM(G26:G28)</f>
        <v/>
      </c>
    </row>
    <row r="31">
      <c r="B31" s="8" t="inlineStr">
        <is>
          <t>Kontrolle: Bilanzgewinn GuV ./. Bilanzgewinn Bilanz (muss 0 sein)</t>
        </is>
      </c>
      <c r="C31" s="34">
        <f>ROUND(C29-'ESWE Bilanz'!C24,6)</f>
        <v/>
      </c>
      <c r="D31" s="34">
        <f>ROUND(D29-'ESWE Bilanz'!D24,6)</f>
        <v/>
      </c>
      <c r="E31" s="34">
        <f>ROUND(E29-'ESWE Bilanz'!E24,6)</f>
        <v/>
      </c>
      <c r="F31" s="34">
        <f>ROUND(F29-'ESWE Bilanz'!F24,6)</f>
        <v/>
      </c>
      <c r="G31" s="34">
        <f>ROUND(G29-'ESWE Bilanz'!G24,6)</f>
        <v/>
      </c>
    </row>
    <row r="33">
      <c r="B33" s="14" t="inlineStr">
        <is>
          <t>Quelle: Unternehmensregister – ESWE Versorgungs AG, HRB 2105, Jahresabschlüsse 2021 bis 2024; Geschäftsbericht 2025, Seite 74 (GJ 2025). Die Positionsnummerierung folgt dem Jahresabschluss 2024. Die Gewinn- und Verlustrechnung 2025 weist die Position „Einstellung in die anderen Gewinnrücklagen“ nicht aus; sie ist für 2025 mit null angesetzt, wodurch die Gliederung über alle fünf Jahre einheitlich bleibt und der Bilanzgewinn in jedem Jahr auf null überleitet.</t>
        </is>
      </c>
    </row>
    <row r="34"/>
  </sheetData>
  <mergeCells count="1">
    <mergeCell ref="B33:G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G18"/>
  <sheetViews>
    <sheetView showGridLines="0" workbookViewId="0">
      <selection activeCell="A1" sqref="A1"/>
    </sheetView>
  </sheetViews>
  <sheetFormatPr baseColWidth="8" defaultRowHeight="15"/>
  <cols>
    <col width="9" customWidth="1" min="1" max="1"/>
    <col width="78" customWidth="1" min="2" max="2"/>
    <col width="14" customWidth="1" min="3" max="3"/>
    <col width="14" customWidth="1" min="4" max="4"/>
    <col width="14" customWidth="1" min="5" max="5"/>
    <col width="14" customWidth="1" min="6" max="6"/>
    <col width="14" customWidth="1" min="7" max="7"/>
    <col width="9" customWidth="1" min="8" max="8"/>
  </cols>
  <sheetData>
    <row r="2" ht="21" customHeight="1">
      <c r="B2" s="28" t="inlineStr">
        <is>
          <t>ESWE Versorgungs AG – Kapitalflussrechnung nach DRS 21 2021–2025</t>
        </is>
      </c>
      <c r="C2" s="28" t="n"/>
      <c r="D2" s="28" t="n"/>
      <c r="E2" s="28" t="n"/>
      <c r="F2" s="28" t="n"/>
      <c r="G2" s="28" t="n"/>
    </row>
    <row r="3">
      <c r="B3" s="4" t="inlineStr">
        <is>
          <t>EUR Mio.</t>
        </is>
      </c>
      <c r="C3" s="6" t="n">
        <v>2021</v>
      </c>
      <c r="D3" s="6">
        <f>C3+1</f>
        <v/>
      </c>
      <c r="E3" s="6">
        <f>D3+1</f>
        <v/>
      </c>
      <c r="F3" s="6">
        <f>E3+1</f>
        <v/>
      </c>
      <c r="G3" s="6">
        <f>F3+1</f>
        <v/>
      </c>
    </row>
    <row r="5">
      <c r="B5" s="7" t="inlineStr">
        <is>
          <t>(+) Cashflow aus laufender Geschäftstätigkeit</t>
        </is>
      </c>
      <c r="C5" s="33" t="n">
        <v>49</v>
      </c>
      <c r="D5" s="33" t="n">
        <v>78</v>
      </c>
      <c r="E5" s="33" t="n">
        <v>47.3</v>
      </c>
      <c r="F5" s="33" t="n">
        <v>68.2</v>
      </c>
      <c r="G5" s="33" t="n">
        <v>42.7</v>
      </c>
    </row>
    <row r="6">
      <c r="B6" s="7" t="inlineStr">
        <is>
          <t>(+) Cashflow aus der Investitionstätigkeit</t>
        </is>
      </c>
      <c r="C6" s="33" t="n">
        <v>-19.5</v>
      </c>
      <c r="D6" s="33" t="n">
        <v>-34</v>
      </c>
      <c r="E6" s="33" t="n">
        <v>8.9</v>
      </c>
      <c r="F6" s="33" t="n">
        <v>-5</v>
      </c>
      <c r="G6" s="33" t="n">
        <v>-8.300000000000001</v>
      </c>
    </row>
    <row r="7">
      <c r="B7" s="7" t="inlineStr">
        <is>
          <t>(+) Cashflow aus der Finanzierungstätigkeit</t>
        </is>
      </c>
      <c r="C7" s="33" t="n">
        <v>-28.9</v>
      </c>
      <c r="D7" s="33" t="n">
        <v>-17</v>
      </c>
      <c r="E7" s="33" t="n">
        <v>-41.8</v>
      </c>
      <c r="F7" s="33" t="n">
        <v>-86.7</v>
      </c>
      <c r="G7" s="33" t="n">
        <v>-53.4</v>
      </c>
    </row>
    <row r="9">
      <c r="B9" s="29" t="inlineStr">
        <is>
          <t>(=) Zahlungswirksame Veränderung des Finanzmittelfonds</t>
        </is>
      </c>
      <c r="C9" s="30">
        <f>SUM(C5:C7)</f>
        <v/>
      </c>
      <c r="D9" s="30">
        <f>SUM(D5:D7)</f>
        <v/>
      </c>
      <c r="E9" s="30">
        <f>SUM(E5:E7)</f>
        <v/>
      </c>
      <c r="F9" s="30">
        <f>SUM(F5:F7)</f>
        <v/>
      </c>
      <c r="G9" s="30">
        <f>SUM(G5:G7)</f>
        <v/>
      </c>
    </row>
    <row r="10">
      <c r="B10" s="8" t="inlineStr">
        <is>
          <t>(+) Finanzmittelfonds am Anfang der Periode</t>
        </is>
      </c>
      <c r="C10" s="32" t="n">
        <v>3</v>
      </c>
      <c r="D10" s="32" t="n">
        <v>3.6</v>
      </c>
      <c r="E10" s="32" t="n">
        <v>30.6</v>
      </c>
      <c r="F10" s="32" t="n">
        <v>45</v>
      </c>
      <c r="G10" s="32" t="n">
        <v>21.5</v>
      </c>
    </row>
    <row r="11">
      <c r="B11" s="25" t="inlineStr">
        <is>
          <t>Finanzmittelfonds am Ende der Periode</t>
        </is>
      </c>
      <c r="C11" s="26">
        <f>C10+C9</f>
        <v/>
      </c>
      <c r="D11" s="26">
        <f>D10+D9</f>
        <v/>
      </c>
      <c r="E11" s="26">
        <f>E10+E9</f>
        <v/>
      </c>
      <c r="F11" s="26">
        <f>F10+F9</f>
        <v/>
      </c>
      <c r="G11" s="26">
        <f>G10+G9</f>
        <v/>
      </c>
    </row>
    <row r="13">
      <c r="B13" s="8" t="inlineStr">
        <is>
          <t>nachrichtlich: veröffentlichter Endbestand lt. Lagebericht</t>
        </is>
      </c>
      <c r="C13" s="32" t="n">
        <v>3.6</v>
      </c>
      <c r="D13" s="32" t="n">
        <v>30.6</v>
      </c>
      <c r="E13" s="32" t="n">
        <v>45</v>
      </c>
      <c r="F13" s="32" t="n">
        <v>21.5</v>
      </c>
      <c r="G13" s="32" t="n">
        <v>2.5</v>
      </c>
    </row>
    <row r="14">
      <c r="B14" s="8" t="inlineStr">
        <is>
          <t>Kontrolle: berechneter ./. veröffentlichter Endbestand (muss 0 sein)</t>
        </is>
      </c>
      <c r="C14" s="34">
        <f>ROUND(C11-C13,1)</f>
        <v/>
      </c>
      <c r="D14" s="34">
        <f>ROUND(D11-D13,1)</f>
        <v/>
      </c>
      <c r="E14" s="34">
        <f>ROUND(E11-E13,1)</f>
        <v/>
      </c>
      <c r="F14" s="34">
        <f>ROUND(F11-F13,1)</f>
        <v/>
      </c>
      <c r="G14" s="34">
        <f>ROUND(G11-G13,1)</f>
        <v/>
      </c>
    </row>
    <row r="15">
      <c r="B15" s="8" t="inlineStr">
        <is>
          <t>Kontrolle: Endbestand ./. Kassenbestand lt. Bilanz (muss 0 sein)</t>
        </is>
      </c>
      <c r="C15" s="34">
        <f>ROUND(C11-'ESWE Bilanz'!C14,1)</f>
        <v/>
      </c>
      <c r="D15" s="34">
        <f>ROUND(D11-'ESWE Bilanz'!D14,1)</f>
        <v/>
      </c>
      <c r="E15" s="34">
        <f>ROUND(E11-'ESWE Bilanz'!E14,1)</f>
        <v/>
      </c>
      <c r="F15" s="34">
        <f>ROUND(F11-'ESWE Bilanz'!F14,1)</f>
        <v/>
      </c>
      <c r="G15" s="34">
        <f>ROUND(G11-'ESWE Bilanz'!G14,1)</f>
        <v/>
      </c>
    </row>
    <row r="17">
      <c r="B17" s="14" t="inlineStr">
        <is>
          <t>Quelle: Lagebericht im jeweiligen Jahresabschluss (JA 2022 für GJ 2021 und 2022, JA 2023 S. 25, JA 2024 S. 26) sowie Geschäftsbericht 2025, Seite 18 (GJ 2024 und 2025). Die Gesellschaft veröffentlicht die Kapitalflussrechnung ausschließlich in dieser verkürzten Form; eine Überleitung der einzelnen DRS-21-Posten (Jahresergebnis, Abschreibungen, Working-Capital-Veränderungen usw.) ist aus den veröffentlichten Abschlüssen nicht ableitbar. Für 2022 nennt der JA 2022 abweichend 95,4 / -44,9 / -23,5 Mio. €; angesetzt sind die Werte des JA 2023 – die Summe ist in beiden Fassungen identisch (Umgliederung).</t>
        </is>
      </c>
    </row>
    <row r="18"/>
  </sheetData>
  <mergeCells count="1">
    <mergeCell ref="B17:G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G42"/>
  <sheetViews>
    <sheetView showGridLines="0" workbookViewId="0">
      <selection activeCell="A1" sqref="A1"/>
    </sheetView>
  </sheetViews>
  <sheetFormatPr baseColWidth="8" defaultRowHeight="15"/>
  <cols>
    <col width="9" customWidth="1" min="1" max="1"/>
    <col width="46" customWidth="1" min="2" max="2"/>
    <col width="13" customWidth="1" min="3" max="3"/>
    <col width="13" customWidth="1" min="4" max="4"/>
    <col width="13" customWidth="1" min="5" max="5"/>
    <col width="13" customWidth="1" min="6" max="6"/>
    <col width="13" customWidth="1" min="7" max="7"/>
    <col width="9" customWidth="1" min="8" max="8"/>
  </cols>
  <sheetData>
    <row r="2" ht="21" customHeight="1">
      <c r="B2" s="28" t="inlineStr">
        <is>
          <t>ESWE Versorgungs AG – Key Financials 2021–2025</t>
        </is>
      </c>
      <c r="C2" s="28" t="n"/>
      <c r="D2" s="28" t="n"/>
      <c r="E2" s="28" t="n"/>
      <c r="F2" s="28" t="n"/>
      <c r="G2" s="28" t="n"/>
    </row>
    <row r="3">
      <c r="B3" s="4" t="inlineStr">
        <is>
          <t>EUR Mio. / % / x</t>
        </is>
      </c>
      <c r="C3" s="6" t="n">
        <v>2021</v>
      </c>
      <c r="D3" s="6">
        <f>C3+1</f>
        <v/>
      </c>
      <c r="E3" s="6">
        <f>D3+1</f>
        <v/>
      </c>
      <c r="F3" s="6">
        <f>E3+1</f>
        <v/>
      </c>
      <c r="G3" s="6">
        <f>F3+1</f>
        <v/>
      </c>
    </row>
    <row r="5">
      <c r="B5" s="7" t="inlineStr">
        <is>
          <t>Umsatzerlöse</t>
        </is>
      </c>
      <c r="C5" s="19">
        <f>'ESWE GuV'!C5</f>
        <v/>
      </c>
      <c r="D5" s="19">
        <f>'ESWE GuV'!D5</f>
        <v/>
      </c>
      <c r="E5" s="19">
        <f>'ESWE GuV'!E5</f>
        <v/>
      </c>
      <c r="F5" s="19">
        <f>'ESWE GuV'!F5</f>
        <v/>
      </c>
      <c r="G5" s="19">
        <f>'ESWE GuV'!G5</f>
        <v/>
      </c>
    </row>
    <row r="6">
      <c r="B6" s="8" t="inlineStr">
        <is>
          <t>Gesamtleistung</t>
        </is>
      </c>
      <c r="C6" s="34">
        <f>'ESWE GuV'!C5+'ESWE GuV'!C6+'ESWE GuV'!C7</f>
        <v/>
      </c>
      <c r="D6" s="34">
        <f>'ESWE GuV'!D5+'ESWE GuV'!D6+'ESWE GuV'!D7</f>
        <v/>
      </c>
      <c r="E6" s="34">
        <f>'ESWE GuV'!E5+'ESWE GuV'!E6+'ESWE GuV'!E7</f>
        <v/>
      </c>
      <c r="F6" s="34">
        <f>'ESWE GuV'!F5+'ESWE GuV'!F6+'ESWE GuV'!F7</f>
        <v/>
      </c>
      <c r="G6" s="34">
        <f>'ESWE GuV'!G5+'ESWE GuV'!G6+'ESWE GuV'!G7</f>
        <v/>
      </c>
    </row>
    <row r="7">
      <c r="B7" s="8" t="inlineStr">
        <is>
          <t>Rohertrag</t>
        </is>
      </c>
      <c r="C7" s="34">
        <f>C6-'ESWE GuV'!C9</f>
        <v/>
      </c>
      <c r="D7" s="34">
        <f>D6-'ESWE GuV'!D9</f>
        <v/>
      </c>
      <c r="E7" s="34">
        <f>E6-'ESWE GuV'!E9</f>
        <v/>
      </c>
      <c r="F7" s="34">
        <f>F6-'ESWE GuV'!F9</f>
        <v/>
      </c>
      <c r="G7" s="34">
        <f>G6-'ESWE GuV'!G9</f>
        <v/>
      </c>
    </row>
    <row r="8">
      <c r="B8" s="20" t="inlineStr">
        <is>
          <t>(%) Rohertragsmarge</t>
        </is>
      </c>
      <c r="C8" s="35">
        <f>IFERROR(C7/C6,0)</f>
        <v/>
      </c>
      <c r="D8" s="35">
        <f>IFERROR(D7/D6,0)</f>
        <v/>
      </c>
      <c r="E8" s="35">
        <f>IFERROR(E7/E6,0)</f>
        <v/>
      </c>
      <c r="F8" s="35">
        <f>IFERROR(F7/F6,0)</f>
        <v/>
      </c>
      <c r="G8" s="35">
        <f>IFERROR(G7/G6,0)</f>
        <v/>
      </c>
    </row>
    <row r="10">
      <c r="B10" s="7" t="inlineStr">
        <is>
          <t>EBITDA</t>
        </is>
      </c>
      <c r="C10" s="22">
        <f>C11+'ESWE GuV'!C11</f>
        <v/>
      </c>
      <c r="D10" s="22">
        <f>D11+'ESWE GuV'!D11</f>
        <v/>
      </c>
      <c r="E10" s="22">
        <f>E11+'ESWE GuV'!E11</f>
        <v/>
      </c>
      <c r="F10" s="22">
        <f>F11+'ESWE GuV'!F11</f>
        <v/>
      </c>
      <c r="G10" s="22">
        <f>G11+'ESWE GuV'!G11</f>
        <v/>
      </c>
    </row>
    <row r="11">
      <c r="B11" s="7" t="inlineStr">
        <is>
          <t>EBIT / Betriebliches Ergebnis</t>
        </is>
      </c>
      <c r="C11" s="19">
        <f>'ESWE GuV'!C13</f>
        <v/>
      </c>
      <c r="D11" s="19">
        <f>'ESWE GuV'!D13</f>
        <v/>
      </c>
      <c r="E11" s="19">
        <f>'ESWE GuV'!E13</f>
        <v/>
      </c>
      <c r="F11" s="19">
        <f>'ESWE GuV'!F13</f>
        <v/>
      </c>
      <c r="G11" s="19">
        <f>'ESWE GuV'!G13</f>
        <v/>
      </c>
    </row>
    <row r="12">
      <c r="B12" s="8" t="inlineStr">
        <is>
          <t>Beteiligungsergebnis</t>
        </is>
      </c>
      <c r="C12" s="17">
        <f>'ESWE GuV'!C15</f>
        <v/>
      </c>
      <c r="D12" s="17">
        <f>'ESWE GuV'!D15</f>
        <v/>
      </c>
      <c r="E12" s="17">
        <f>'ESWE GuV'!E15</f>
        <v/>
      </c>
      <c r="F12" s="17">
        <f>'ESWE GuV'!F15</f>
        <v/>
      </c>
      <c r="G12" s="17">
        <f>'ESWE GuV'!G15</f>
        <v/>
      </c>
    </row>
    <row r="13">
      <c r="B13" s="8" t="inlineStr">
        <is>
          <t>Zinsergebnis</t>
        </is>
      </c>
      <c r="C13" s="17">
        <f>'ESWE GuV'!C17</f>
        <v/>
      </c>
      <c r="D13" s="17">
        <f>'ESWE GuV'!D17</f>
        <v/>
      </c>
      <c r="E13" s="17">
        <f>'ESWE GuV'!E17</f>
        <v/>
      </c>
      <c r="F13" s="17">
        <f>'ESWE GuV'!F17</f>
        <v/>
      </c>
      <c r="G13" s="17">
        <f>'ESWE GuV'!G17</f>
        <v/>
      </c>
    </row>
    <row r="14">
      <c r="B14" s="7" t="inlineStr">
        <is>
          <t>Ergebnis vor Steuern</t>
        </is>
      </c>
      <c r="C14" s="19">
        <f>'ESWE GuV'!C18</f>
        <v/>
      </c>
      <c r="D14" s="19">
        <f>'ESWE GuV'!D18</f>
        <v/>
      </c>
      <c r="E14" s="19">
        <f>'ESWE GuV'!E18</f>
        <v/>
      </c>
      <c r="F14" s="19">
        <f>'ESWE GuV'!F18</f>
        <v/>
      </c>
      <c r="G14" s="19">
        <f>'ESWE GuV'!G18</f>
        <v/>
      </c>
    </row>
    <row r="15">
      <c r="B15" s="15" t="inlineStr">
        <is>
          <t>Jahresüberschuss</t>
        </is>
      </c>
      <c r="C15" s="16">
        <f>'ESWE GuV'!C24</f>
        <v/>
      </c>
      <c r="D15" s="16">
        <f>'ESWE GuV'!D24</f>
        <v/>
      </c>
      <c r="E15" s="16">
        <f>'ESWE GuV'!E24</f>
        <v/>
      </c>
      <c r="F15" s="16">
        <f>'ESWE GuV'!F24</f>
        <v/>
      </c>
      <c r="G15" s="16">
        <f>'ESWE GuV'!G24</f>
        <v/>
      </c>
    </row>
    <row r="17">
      <c r="B17" s="8" t="inlineStr">
        <is>
          <t>OCF – Operating Cash Flow</t>
        </is>
      </c>
      <c r="C17" s="17">
        <f>'ESWE Cashflow'!C5</f>
        <v/>
      </c>
      <c r="D17" s="17">
        <f>'ESWE Cashflow'!D5</f>
        <v/>
      </c>
      <c r="E17" s="17">
        <f>'ESWE Cashflow'!E5</f>
        <v/>
      </c>
      <c r="F17" s="17">
        <f>'ESWE Cashflow'!F5</f>
        <v/>
      </c>
      <c r="G17" s="17">
        <f>'ESWE Cashflow'!G5</f>
        <v/>
      </c>
    </row>
    <row r="18">
      <c r="B18" s="8" t="inlineStr">
        <is>
          <t>ICF – Investing Cash Flow</t>
        </is>
      </c>
      <c r="C18" s="17">
        <f>'ESWE Cashflow'!C6</f>
        <v/>
      </c>
      <c r="D18" s="17">
        <f>'ESWE Cashflow'!D6</f>
        <v/>
      </c>
      <c r="E18" s="17">
        <f>'ESWE Cashflow'!E6</f>
        <v/>
      </c>
      <c r="F18" s="17">
        <f>'ESWE Cashflow'!F6</f>
        <v/>
      </c>
      <c r="G18" s="17">
        <f>'ESWE Cashflow'!G6</f>
        <v/>
      </c>
    </row>
    <row r="19">
      <c r="B19" s="8" t="inlineStr">
        <is>
          <t>FCF – Financing Cash Flow</t>
        </is>
      </c>
      <c r="C19" s="17">
        <f>'ESWE Cashflow'!C7</f>
        <v/>
      </c>
      <c r="D19" s="17">
        <f>'ESWE Cashflow'!D7</f>
        <v/>
      </c>
      <c r="E19" s="17">
        <f>'ESWE Cashflow'!E7</f>
        <v/>
      </c>
      <c r="F19" s="17">
        <f>'ESWE Cashflow'!F7</f>
        <v/>
      </c>
      <c r="G19" s="17">
        <f>'ESWE Cashflow'!G7</f>
        <v/>
      </c>
    </row>
    <row r="20">
      <c r="B20" s="15" t="inlineStr">
        <is>
          <t>FFCF – Free Cash Flow (OCF + ICF)</t>
        </is>
      </c>
      <c r="C20" s="36">
        <f>C17+C18</f>
        <v/>
      </c>
      <c r="D20" s="36">
        <f>D17+D18</f>
        <v/>
      </c>
      <c r="E20" s="36">
        <f>E17+E18</f>
        <v/>
      </c>
      <c r="F20" s="36">
        <f>F17+F18</f>
        <v/>
      </c>
      <c r="G20" s="36">
        <f>G17+G18</f>
        <v/>
      </c>
    </row>
    <row r="22">
      <c r="B22" s="8" t="inlineStr">
        <is>
          <t>Bilanzsumme</t>
        </is>
      </c>
      <c r="C22" s="17">
        <f>'ESWE Bilanz'!C17</f>
        <v/>
      </c>
      <c r="D22" s="17">
        <f>'ESWE Bilanz'!D17</f>
        <v/>
      </c>
      <c r="E22" s="17">
        <f>'ESWE Bilanz'!E17</f>
        <v/>
      </c>
      <c r="F22" s="17">
        <f>'ESWE Bilanz'!F17</f>
        <v/>
      </c>
      <c r="G22" s="17">
        <f>'ESWE Bilanz'!G17</f>
        <v/>
      </c>
    </row>
    <row r="23">
      <c r="B23" s="8" t="inlineStr">
        <is>
          <t>Eigenkapital</t>
        </is>
      </c>
      <c r="C23" s="17">
        <f>'ESWE Bilanz'!C20</f>
        <v/>
      </c>
      <c r="D23" s="17">
        <f>'ESWE Bilanz'!D20</f>
        <v/>
      </c>
      <c r="E23" s="17">
        <f>'ESWE Bilanz'!E20</f>
        <v/>
      </c>
      <c r="F23" s="17">
        <f>'ESWE Bilanz'!F20</f>
        <v/>
      </c>
      <c r="G23" s="17">
        <f>'ESWE Bilanz'!G20</f>
        <v/>
      </c>
    </row>
    <row r="24">
      <c r="B24" s="7" t="inlineStr">
        <is>
          <t>(%) Eigenkapitalquote</t>
        </is>
      </c>
      <c r="C24" s="37">
        <f>IFERROR(C23/C22,0)</f>
        <v/>
      </c>
      <c r="D24" s="37">
        <f>IFERROR(D23/D22,0)</f>
        <v/>
      </c>
      <c r="E24" s="37">
        <f>IFERROR(E23/E22,0)</f>
        <v/>
      </c>
      <c r="F24" s="37">
        <f>IFERROR(F23/F22,0)</f>
        <v/>
      </c>
      <c r="G24" s="37">
        <f>IFERROR(G23/G22,0)</f>
        <v/>
      </c>
    </row>
    <row r="25">
      <c r="B25" s="8" t="inlineStr">
        <is>
          <t>(%) Anlagenintensität</t>
        </is>
      </c>
      <c r="C25" s="27">
        <f>IFERROR('ESWE Bilanz'!C6/C22,0)</f>
        <v/>
      </c>
      <c r="D25" s="27">
        <f>IFERROR('ESWE Bilanz'!D6/D22,0)</f>
        <v/>
      </c>
      <c r="E25" s="27">
        <f>IFERROR('ESWE Bilanz'!E6/E22,0)</f>
        <v/>
      </c>
      <c r="F25" s="27">
        <f>IFERROR('ESWE Bilanz'!F6/F22,0)</f>
        <v/>
      </c>
      <c r="G25" s="27">
        <f>IFERROR('ESWE Bilanz'!G6/G22,0)</f>
        <v/>
      </c>
    </row>
    <row r="26">
      <c r="B26" s="20" t="inlineStr">
        <is>
          <t>(%) Umsatzrendite</t>
        </is>
      </c>
      <c r="C26" s="35">
        <f>IFERROR(C15/C5,0)</f>
        <v/>
      </c>
      <c r="D26" s="35">
        <f>IFERROR(D15/D5,0)</f>
        <v/>
      </c>
      <c r="E26" s="35">
        <f>IFERROR(E15/E5,0)</f>
        <v/>
      </c>
      <c r="F26" s="35">
        <f>IFERROR(F15/F5,0)</f>
        <v/>
      </c>
      <c r="G26" s="35">
        <f>IFERROR(G15/G5,0)</f>
        <v/>
      </c>
    </row>
    <row r="27">
      <c r="B27" s="8" t="inlineStr">
        <is>
          <t>(-) Kassenbestand</t>
        </is>
      </c>
      <c r="C27" s="17">
        <f>'ESWE Bilanz'!C14</f>
        <v/>
      </c>
      <c r="D27" s="17">
        <f>'ESWE Bilanz'!D14</f>
        <v/>
      </c>
      <c r="E27" s="17">
        <f>'ESWE Bilanz'!E14</f>
        <v/>
      </c>
      <c r="F27" s="17">
        <f>'ESWE Bilanz'!F14</f>
        <v/>
      </c>
      <c r="G27" s="17">
        <f>'ESWE Bilanz'!G14</f>
        <v/>
      </c>
    </row>
    <row r="28">
      <c r="B28" s="8" t="inlineStr">
        <is>
          <t>(+) Verbindlichkeiten gegenüber Kreditinstituten</t>
        </is>
      </c>
      <c r="C28" s="17">
        <f>'ESWE Bilanz'!C29</f>
        <v/>
      </c>
      <c r="D28" s="17">
        <f>'ESWE Bilanz'!D29</f>
        <v/>
      </c>
      <c r="E28" s="17">
        <f>'ESWE Bilanz'!E29</f>
        <v/>
      </c>
      <c r="F28" s="17">
        <f>'ESWE Bilanz'!F29</f>
        <v/>
      </c>
      <c r="G28" s="17">
        <f>'ESWE Bilanz'!G29</f>
        <v/>
      </c>
    </row>
    <row r="29">
      <c r="B29" s="7" t="inlineStr">
        <is>
          <t>Net Debt</t>
        </is>
      </c>
      <c r="C29" s="22">
        <f>C28-C27</f>
        <v/>
      </c>
      <c r="D29" s="22">
        <f>D28-D27</f>
        <v/>
      </c>
      <c r="E29" s="22">
        <f>E28-E27</f>
        <v/>
      </c>
      <c r="F29" s="22">
        <f>F28-F27</f>
        <v/>
      </c>
      <c r="G29" s="22">
        <f>G28-G27</f>
        <v/>
      </c>
    </row>
    <row r="30">
      <c r="B30" s="15" t="inlineStr">
        <is>
          <t>Net Debt / EBITDA</t>
        </is>
      </c>
      <c r="C30" s="38">
        <f>IFERROR(C29/C10,0)</f>
        <v/>
      </c>
      <c r="D30" s="38">
        <f>IFERROR(D29/D10,0)</f>
        <v/>
      </c>
      <c r="E30" s="38">
        <f>IFERROR(E29/E10,0)</f>
        <v/>
      </c>
      <c r="F30" s="38">
        <f>IFERROR(F29/F10,0)</f>
        <v/>
      </c>
      <c r="G30" s="38">
        <f>IFERROR(G29/G10,0)</f>
        <v/>
      </c>
    </row>
    <row r="32">
      <c r="B32" s="7" t="inlineStr">
        <is>
          <t>Capex (Gesamtinvestitionen inkl. Finanzanlagen)</t>
        </is>
      </c>
      <c r="C32" s="19">
        <f>'ESWE Capex Revenue'!C14</f>
        <v/>
      </c>
      <c r="D32" s="19">
        <f>'ESWE Capex Revenue'!D14</f>
        <v/>
      </c>
      <c r="E32" s="19">
        <f>'ESWE Capex Revenue'!E14</f>
        <v/>
      </c>
      <c r="F32" s="19">
        <f>'ESWE Capex Revenue'!F14</f>
        <v/>
      </c>
      <c r="G32" s="19">
        <f>'ESWE Capex Revenue'!G14</f>
        <v/>
      </c>
    </row>
    <row r="33">
      <c r="B33" s="20" t="inlineStr">
        <is>
          <t>(%) Capex / Umsatzerlöse</t>
        </is>
      </c>
      <c r="C33" s="35">
        <f>IFERROR(C32/C5,0)</f>
        <v/>
      </c>
      <c r="D33" s="35">
        <f>IFERROR(D32/D5,0)</f>
        <v/>
      </c>
      <c r="E33" s="35">
        <f>IFERROR(E32/E5,0)</f>
        <v/>
      </c>
      <c r="F33" s="35">
        <f>IFERROR(F32/F5,0)</f>
        <v/>
      </c>
      <c r="G33" s="35">
        <f>IFERROR(G32/G5,0)</f>
        <v/>
      </c>
    </row>
    <row r="35">
      <c r="B35" s="4" t="inlineStr">
        <is>
          <t>Absatzmengen</t>
        </is>
      </c>
      <c r="C35" s="6" t="n">
        <v>2021</v>
      </c>
      <c r="D35" s="6" t="n">
        <v>2022</v>
      </c>
      <c r="E35" s="6" t="n">
        <v>2023</v>
      </c>
      <c r="F35" s="6" t="n">
        <v>2024</v>
      </c>
      <c r="G35" s="6" t="n">
        <v>2025</v>
      </c>
    </row>
    <row r="36">
      <c r="B36" s="8" t="inlineStr">
        <is>
          <t>Strom (Mio. kWh)</t>
        </is>
      </c>
      <c r="C36" s="39">
        <f>'ESWE Capex Revenue'!C18</f>
        <v/>
      </c>
      <c r="D36" s="39">
        <f>'ESWE Capex Revenue'!D18</f>
        <v/>
      </c>
      <c r="E36" s="39">
        <f>'ESWE Capex Revenue'!E18</f>
        <v/>
      </c>
      <c r="F36" s="39">
        <f>'ESWE Capex Revenue'!F18</f>
        <v/>
      </c>
      <c r="G36" s="39">
        <f>'ESWE Capex Revenue'!G18</f>
        <v/>
      </c>
    </row>
    <row r="37">
      <c r="B37" s="8" t="inlineStr">
        <is>
          <t>Gas (Mio. kWh)</t>
        </is>
      </c>
      <c r="C37" s="39">
        <f>'ESWE Capex Revenue'!C19</f>
        <v/>
      </c>
      <c r="D37" s="39">
        <f>'ESWE Capex Revenue'!D19</f>
        <v/>
      </c>
      <c r="E37" s="39">
        <f>'ESWE Capex Revenue'!E19</f>
        <v/>
      </c>
      <c r="F37" s="39">
        <f>'ESWE Capex Revenue'!F19</f>
        <v/>
      </c>
      <c r="G37" s="39">
        <f>'ESWE Capex Revenue'!G19</f>
        <v/>
      </c>
    </row>
    <row r="38">
      <c r="B38" s="8" t="inlineStr">
        <is>
          <t>Wärme / Kälte (Mio. kWh)</t>
        </is>
      </c>
      <c r="C38" s="39">
        <f>'ESWE Capex Revenue'!C20</f>
        <v/>
      </c>
      <c r="D38" s="39">
        <f>'ESWE Capex Revenue'!D20</f>
        <v/>
      </c>
      <c r="E38" s="39">
        <f>'ESWE Capex Revenue'!E20</f>
        <v/>
      </c>
      <c r="F38" s="39">
        <f>'ESWE Capex Revenue'!F20</f>
        <v/>
      </c>
      <c r="G38" s="39">
        <f>'ESWE Capex Revenue'!G20</f>
        <v/>
      </c>
    </row>
    <row r="39">
      <c r="B39" s="8" t="inlineStr">
        <is>
          <t>Wassernetz (Mio. m³)</t>
        </is>
      </c>
      <c r="C39" s="17">
        <f>'ESWE Capex Revenue'!C21</f>
        <v/>
      </c>
      <c r="D39" s="17">
        <f>'ESWE Capex Revenue'!D21</f>
        <v/>
      </c>
      <c r="E39" s="17">
        <f>'ESWE Capex Revenue'!E21</f>
        <v/>
      </c>
      <c r="F39" s="17">
        <f>'ESWE Capex Revenue'!F21</f>
        <v/>
      </c>
      <c r="G39" s="17">
        <f>'ESWE Capex Revenue'!G21</f>
        <v/>
      </c>
    </row>
    <row r="41">
      <c r="B41" s="14" t="inlineStr">
        <is>
          <t>Net Debt = Verbindlichkeiten gegenüber Kreditinstituten abzüglich Kassenbestand und Guthaben bei Kreditinstituten (Methodik des evm/enm Financial Model). EBITDA = Betriebliches Ergebnis zzgl. Abschreibungen auf immaterielle Vermögensgegenstände und Sachanlagen; Abschreibungen auf Finanzanlagen sind nicht enthalten, da sie unterhalb des Betriebsergebnisses ausgewiesen werden. Anlagenintensität = Anlagevermögen / Bilanzsumme. Umsatzrendite = Jahresüberschuss / Umsatzerlöse.</t>
        </is>
      </c>
    </row>
    <row r="42"/>
  </sheetData>
  <mergeCells count="1">
    <mergeCell ref="B41:G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G49"/>
  <sheetViews>
    <sheetView showGridLines="0" workbookViewId="0">
      <selection activeCell="A1" sqref="A1"/>
    </sheetView>
  </sheetViews>
  <sheetFormatPr baseColWidth="8" defaultRowHeight="15"/>
  <cols>
    <col width="9" customWidth="1" min="1" max="1"/>
    <col width="46" customWidth="1" min="2" max="2"/>
    <col width="13" customWidth="1" min="3" max="3"/>
    <col width="13" customWidth="1" min="4" max="4"/>
    <col width="13" customWidth="1" min="5" max="5"/>
    <col width="13" customWidth="1" min="6" max="6"/>
    <col width="13" customWidth="1" min="7" max="7"/>
    <col width="9" customWidth="1" min="8" max="8"/>
  </cols>
  <sheetData>
    <row r="2" ht="21" customHeight="1">
      <c r="B2" s="28" t="inlineStr">
        <is>
          <t>ESWE Versorgungs AG – Investitionen, Umsatzerlöse und Absatz 2021–2025</t>
        </is>
      </c>
      <c r="C2" s="28" t="n"/>
      <c r="D2" s="28" t="n"/>
      <c r="E2" s="28" t="n"/>
      <c r="F2" s="28" t="n"/>
      <c r="G2" s="28" t="n"/>
    </row>
    <row r="3">
      <c r="B3" s="4" t="inlineStr">
        <is>
          <t>EUR Mio. / Mio. kWh / Mio. m³</t>
        </is>
      </c>
      <c r="C3" s="6" t="n">
        <v>2021</v>
      </c>
      <c r="D3" s="6">
        <f>C3+1</f>
        <v/>
      </c>
      <c r="E3" s="6">
        <f>D3+1</f>
        <v/>
      </c>
      <c r="F3" s="6">
        <f>E3+1</f>
        <v/>
      </c>
      <c r="G3" s="6">
        <f>F3+1</f>
        <v/>
      </c>
    </row>
    <row r="5">
      <c r="B5" s="7" t="inlineStr">
        <is>
          <t>Investitionen nach Unternehmensbereichen</t>
        </is>
      </c>
    </row>
    <row r="6">
      <c r="B6" s="31" t="inlineStr">
        <is>
          <t>Stromversorgung</t>
        </is>
      </c>
      <c r="C6" s="32" t="n">
        <v>2.876</v>
      </c>
      <c r="D6" s="32" t="n">
        <v>2.173</v>
      </c>
      <c r="E6" s="32" t="n">
        <v>1.005</v>
      </c>
      <c r="F6" s="32" t="n">
        <v>0.5679999999999999</v>
      </c>
      <c r="G6" s="32" t="n">
        <v>0.982</v>
      </c>
    </row>
    <row r="7">
      <c r="B7" s="31" t="inlineStr">
        <is>
          <t>Gasversorgung</t>
        </is>
      </c>
      <c r="C7" s="32" t="n">
        <v>9.439</v>
      </c>
      <c r="D7" s="32" t="n">
        <v>4.249</v>
      </c>
      <c r="E7" s="32" t="n">
        <v>2.139</v>
      </c>
      <c r="F7" s="32" t="n">
        <v>2.393</v>
      </c>
      <c r="G7" s="32" t="n">
        <v>2.991</v>
      </c>
    </row>
    <row r="8">
      <c r="B8" s="31" t="inlineStr">
        <is>
          <t>Wasserversorgung</t>
        </is>
      </c>
      <c r="C8" s="32" t="n">
        <v>7.505</v>
      </c>
      <c r="D8" s="32" t="n">
        <v>11.746</v>
      </c>
      <c r="E8" s="32" t="n">
        <v>5.922</v>
      </c>
      <c r="F8" s="32" t="n">
        <v>7.867</v>
      </c>
      <c r="G8" s="32" t="n">
        <v>13.969</v>
      </c>
    </row>
    <row r="9">
      <c r="B9" s="31" t="inlineStr">
        <is>
          <t>Wärmeversorgung</t>
        </is>
      </c>
      <c r="C9" s="32" t="n">
        <v>7.456</v>
      </c>
      <c r="D9" s="32" t="n">
        <v>8.593</v>
      </c>
      <c r="E9" s="32" t="n">
        <v>9.994999999999999</v>
      </c>
      <c r="F9" s="32" t="n">
        <v>8.561</v>
      </c>
      <c r="G9" s="32" t="n">
        <v>6.503</v>
      </c>
    </row>
    <row r="10">
      <c r="B10" s="31" t="inlineStr">
        <is>
          <t>Telekommunikation</t>
        </is>
      </c>
      <c r="C10" s="40" t="inlineStr">
        <is>
          <t>n.a.</t>
        </is>
      </c>
      <c r="D10" s="40" t="inlineStr">
        <is>
          <t>n.a.</t>
        </is>
      </c>
      <c r="E10" s="40" t="inlineStr">
        <is>
          <t>n.a.</t>
        </is>
      </c>
      <c r="F10" s="32" t="n">
        <v>1.259</v>
      </c>
      <c r="G10" s="40" t="inlineStr">
        <is>
          <t>n.a.</t>
        </is>
      </c>
    </row>
    <row r="11">
      <c r="B11" s="31" t="inlineStr">
        <is>
          <t>Sonstige Bereiche</t>
        </is>
      </c>
      <c r="C11" s="32" t="n">
        <v>1.748</v>
      </c>
      <c r="D11" s="32" t="n">
        <v>1.059</v>
      </c>
      <c r="E11" s="32" t="n">
        <v>0.8139999999999999</v>
      </c>
      <c r="F11" s="32" t="n">
        <v>1.173</v>
      </c>
      <c r="G11" s="32" t="n">
        <v>3.377</v>
      </c>
    </row>
    <row r="12">
      <c r="B12" s="31" t="inlineStr">
        <is>
          <t>Gemeinsame Bereiche</t>
        </is>
      </c>
      <c r="C12" s="40" t="inlineStr">
        <is>
          <t>n.a.</t>
        </is>
      </c>
      <c r="D12" s="32" t="n">
        <v>1.851</v>
      </c>
      <c r="E12" s="32" t="n">
        <v>5.599</v>
      </c>
      <c r="F12" s="32" t="n">
        <v>3.426</v>
      </c>
      <c r="G12" s="32" t="n">
        <v>3.957</v>
      </c>
    </row>
    <row r="13">
      <c r="B13" s="31" t="inlineStr">
        <is>
          <t>Beteiligungen (Finanzanlagen)</t>
        </is>
      </c>
      <c r="C13" s="32" t="n">
        <v>14.169</v>
      </c>
      <c r="D13" s="32" t="n">
        <v>24.003</v>
      </c>
      <c r="E13" s="32" t="n">
        <v>1.868</v>
      </c>
      <c r="F13" s="32" t="n">
        <v>2.206</v>
      </c>
      <c r="G13" s="32" t="n">
        <v>5.229</v>
      </c>
    </row>
    <row r="14">
      <c r="B14" s="25" t="inlineStr">
        <is>
          <t>Gesamtinvestitionen</t>
        </is>
      </c>
      <c r="C14" s="26">
        <f>SUM(C6:C13)</f>
        <v/>
      </c>
      <c r="D14" s="26">
        <f>SUM(D6:D13)</f>
        <v/>
      </c>
      <c r="E14" s="26">
        <f>SUM(E6:E13)</f>
        <v/>
      </c>
      <c r="F14" s="26">
        <f>SUM(F6:F13)</f>
        <v/>
      </c>
      <c r="G14" s="26">
        <f>SUM(G6:G13)</f>
        <v/>
      </c>
    </row>
    <row r="16">
      <c r="B16" s="7" t="inlineStr">
        <is>
          <t>Absatzmengen</t>
        </is>
      </c>
    </row>
    <row r="18">
      <c r="B18" s="31" t="inlineStr">
        <is>
          <t>Strom (Mio. kWh)</t>
        </is>
      </c>
      <c r="C18" s="41" t="n">
        <v>946</v>
      </c>
      <c r="D18" s="41" t="n">
        <v>877</v>
      </c>
      <c r="E18" s="41" t="n">
        <v>731</v>
      </c>
      <c r="F18" s="41" t="n">
        <v>609</v>
      </c>
      <c r="G18" s="41" t="n">
        <v>605</v>
      </c>
    </row>
    <row r="19">
      <c r="B19" s="31" t="inlineStr">
        <is>
          <t>Gas (Mio. kWh)</t>
        </is>
      </c>
      <c r="C19" s="41" t="n">
        <v>2220</v>
      </c>
      <c r="D19" s="41" t="n">
        <v>1811</v>
      </c>
      <c r="E19" s="41" t="n">
        <v>1545</v>
      </c>
      <c r="F19" s="41" t="n">
        <v>1461</v>
      </c>
      <c r="G19" s="41" t="n">
        <v>1445</v>
      </c>
    </row>
    <row r="20">
      <c r="B20" s="31" t="inlineStr">
        <is>
          <t>Wärme / Kälte (Mio. kWh)</t>
        </is>
      </c>
      <c r="C20" s="41" t="n">
        <v>295</v>
      </c>
      <c r="D20" s="41" t="n">
        <v>256</v>
      </c>
      <c r="E20" s="41" t="n">
        <v>238</v>
      </c>
      <c r="F20" s="41" t="n">
        <v>272</v>
      </c>
      <c r="G20" s="41" t="n">
        <v>275</v>
      </c>
    </row>
    <row r="21">
      <c r="B21" s="31" t="inlineStr">
        <is>
          <t>Wassernetz (Mio. m³)</t>
        </is>
      </c>
      <c r="C21" s="32" t="n">
        <v>14.4</v>
      </c>
      <c r="D21" s="32" t="n">
        <v>14.5</v>
      </c>
      <c r="E21" s="32" t="n">
        <v>14.3</v>
      </c>
      <c r="F21" s="32" t="n">
        <v>14.6</v>
      </c>
      <c r="G21" s="32" t="n">
        <v>14.7</v>
      </c>
    </row>
    <row r="23">
      <c r="B23" s="7" t="inlineStr">
        <is>
          <t>Umsatzerlöse nach Unternehmensbereichen</t>
        </is>
      </c>
    </row>
    <row r="24">
      <c r="B24" s="31" t="inlineStr">
        <is>
          <t>Stromversorgung (inkl. Handelsgeschäfte)</t>
        </is>
      </c>
      <c r="C24" s="32" t="n">
        <v>215.722</v>
      </c>
      <c r="D24" s="32" t="n">
        <v>207.826</v>
      </c>
      <c r="E24" s="32" t="n">
        <v>268.87</v>
      </c>
      <c r="F24" s="32" t="n">
        <v>200.133</v>
      </c>
      <c r="G24" s="32" t="n">
        <v>190</v>
      </c>
    </row>
    <row r="25">
      <c r="B25" s="31" t="inlineStr">
        <is>
          <t>Gasversorgung (inkl. Handelsgeschäfte)</t>
        </is>
      </c>
      <c r="C25" s="32" t="n">
        <v>108.195</v>
      </c>
      <c r="D25" s="32" t="n">
        <v>156.251</v>
      </c>
      <c r="E25" s="32" t="n">
        <v>241.101</v>
      </c>
      <c r="F25" s="32" t="n">
        <v>206.042</v>
      </c>
      <c r="G25" s="32" t="n">
        <v>155.7</v>
      </c>
    </row>
    <row r="26">
      <c r="B26" s="31" t="inlineStr">
        <is>
          <t>Wärmeversorgung</t>
        </is>
      </c>
      <c r="C26" s="32" t="n">
        <v>30.495</v>
      </c>
      <c r="D26" s="32" t="n">
        <v>35.26</v>
      </c>
      <c r="E26" s="32" t="n">
        <v>40.545</v>
      </c>
      <c r="F26" s="32" t="n">
        <v>45.961</v>
      </c>
      <c r="G26" s="32" t="n">
        <v>43.7</v>
      </c>
    </row>
    <row r="27">
      <c r="B27" s="31" t="inlineStr">
        <is>
          <t>Betriebsführung Wasserversorgung</t>
        </is>
      </c>
      <c r="C27" s="32" t="n">
        <v>23.863</v>
      </c>
      <c r="D27" s="32" t="n">
        <v>24.698</v>
      </c>
      <c r="E27" s="32" t="n">
        <v>25.771</v>
      </c>
      <c r="F27" s="32" t="n">
        <v>29.842</v>
      </c>
      <c r="G27" s="32" t="n">
        <v>32.6</v>
      </c>
    </row>
    <row r="28">
      <c r="B28" s="31" t="inlineStr">
        <is>
          <t>Wasserverkauf an WLW</t>
        </is>
      </c>
      <c r="C28" s="32" t="n">
        <v>12.672</v>
      </c>
      <c r="D28" s="32" t="n">
        <v>15.355</v>
      </c>
      <c r="E28" s="32" t="n">
        <v>17.394</v>
      </c>
      <c r="F28" s="32" t="n">
        <v>15.831</v>
      </c>
      <c r="G28" s="32" t="n">
        <v>16.9</v>
      </c>
    </row>
    <row r="29">
      <c r="B29" s="31" t="inlineStr">
        <is>
          <t>Konzerninterne Dienstleistungen</t>
        </is>
      </c>
      <c r="C29" s="32" t="n">
        <v>22.855</v>
      </c>
      <c r="D29" s="32" t="n">
        <v>21.16</v>
      </c>
      <c r="E29" s="32" t="n">
        <v>22.017</v>
      </c>
      <c r="F29" s="32" t="n">
        <v>21.457</v>
      </c>
      <c r="G29" s="32" t="n">
        <v>20.2</v>
      </c>
    </row>
    <row r="30">
      <c r="B30" s="31" t="inlineStr">
        <is>
          <t>Übrige Umsatzerlöse</t>
        </is>
      </c>
      <c r="C30" s="32" t="n">
        <v>12.73</v>
      </c>
      <c r="D30" s="32" t="n">
        <v>15.133</v>
      </c>
      <c r="E30" s="32" t="n">
        <v>18.364</v>
      </c>
      <c r="F30" s="32" t="n">
        <v>15.387</v>
      </c>
      <c r="G30" s="32" t="n">
        <v>14.7</v>
      </c>
    </row>
    <row r="31">
      <c r="B31" s="29" t="inlineStr">
        <is>
          <t>Umsätze lt. Aufteilung</t>
        </is>
      </c>
      <c r="C31" s="30">
        <f>SUM(C24:C30)</f>
        <v/>
      </c>
      <c r="D31" s="30">
        <f>SUM(D24:D30)</f>
        <v/>
      </c>
      <c r="E31" s="30">
        <f>SUM(E24:E30)</f>
        <v/>
      </c>
      <c r="F31" s="30">
        <f>SUM(F24:F30)</f>
        <v/>
      </c>
      <c r="G31" s="30">
        <f>SUM(G24:G30)</f>
        <v/>
      </c>
    </row>
    <row r="32">
      <c r="B32" s="8" t="inlineStr">
        <is>
          <t>nachrichtlich: Umsatzerlöse lt. GuV</t>
        </is>
      </c>
      <c r="C32" s="17">
        <f>'ESWE GuV'!C5</f>
        <v/>
      </c>
      <c r="D32" s="17">
        <f>'ESWE GuV'!D5</f>
        <v/>
      </c>
      <c r="E32" s="17">
        <f>'ESWE GuV'!E5</f>
        <v/>
      </c>
      <c r="F32" s="17">
        <f>'ESWE GuV'!F5</f>
        <v/>
      </c>
      <c r="G32" s="17">
        <f>'ESWE GuV'!G5</f>
        <v/>
      </c>
    </row>
    <row r="33">
      <c r="B33" s="42" t="inlineStr">
        <is>
          <t>Kontrolle: Aufteilung ./. GuV (muss 0 sein; 2025 Rundung)</t>
        </is>
      </c>
      <c r="C33" s="43">
        <f>ROUND(C31-C32,1)</f>
        <v/>
      </c>
      <c r="D33" s="43">
        <f>ROUND(D31-D32,1)</f>
        <v/>
      </c>
      <c r="E33" s="43">
        <f>ROUND(E31-E32,1)</f>
        <v/>
      </c>
      <c r="F33" s="43">
        <f>ROUND(F31-F32,1)</f>
        <v/>
      </c>
      <c r="G33" s="43">
        <f>ROUND(G31-G32,1)</f>
        <v/>
      </c>
    </row>
    <row r="35">
      <c r="B35" s="7" t="inlineStr">
        <is>
          <t>Umsatzaufteilung in Prozent</t>
        </is>
      </c>
    </row>
    <row r="36">
      <c r="B36" s="31" t="inlineStr">
        <is>
          <t>Stromversorgung (inkl. Handelsgeschäfte)</t>
        </is>
      </c>
      <c r="C36" s="27">
        <f>IFERROR(C24/C$31,0)</f>
        <v/>
      </c>
      <c r="D36" s="27">
        <f>IFERROR(D24/D$31,0)</f>
        <v/>
      </c>
      <c r="E36" s="27">
        <f>IFERROR(E24/E$31,0)</f>
        <v/>
      </c>
      <c r="F36" s="27">
        <f>IFERROR(F24/F$31,0)</f>
        <v/>
      </c>
      <c r="G36" s="27">
        <f>IFERROR(G24/G$31,0)</f>
        <v/>
      </c>
    </row>
    <row r="37">
      <c r="B37" s="31" t="inlineStr">
        <is>
          <t>Gasversorgung (inkl. Handelsgeschäfte)</t>
        </is>
      </c>
      <c r="C37" s="27">
        <f>IFERROR(C25/C$31,0)</f>
        <v/>
      </c>
      <c r="D37" s="27">
        <f>IFERROR(D25/D$31,0)</f>
        <v/>
      </c>
      <c r="E37" s="27">
        <f>IFERROR(E25/E$31,0)</f>
        <v/>
      </c>
      <c r="F37" s="27">
        <f>IFERROR(F25/F$31,0)</f>
        <v/>
      </c>
      <c r="G37" s="27">
        <f>IFERROR(G25/G$31,0)</f>
        <v/>
      </c>
    </row>
    <row r="38">
      <c r="B38" s="31" t="inlineStr">
        <is>
          <t>Wärmeversorgung</t>
        </is>
      </c>
      <c r="C38" s="27">
        <f>IFERROR(C26/C$31,0)</f>
        <v/>
      </c>
      <c r="D38" s="27">
        <f>IFERROR(D26/D$31,0)</f>
        <v/>
      </c>
      <c r="E38" s="27">
        <f>IFERROR(E26/E$31,0)</f>
        <v/>
      </c>
      <c r="F38" s="27">
        <f>IFERROR(F26/F$31,0)</f>
        <v/>
      </c>
      <c r="G38" s="27">
        <f>IFERROR(G26/G$31,0)</f>
        <v/>
      </c>
    </row>
    <row r="39">
      <c r="B39" s="31" t="inlineStr">
        <is>
          <t>Betriebsführung Wasserversorgung</t>
        </is>
      </c>
      <c r="C39" s="27">
        <f>IFERROR(C27/C$31,0)</f>
        <v/>
      </c>
      <c r="D39" s="27">
        <f>IFERROR(D27/D$31,0)</f>
        <v/>
      </c>
      <c r="E39" s="27">
        <f>IFERROR(E27/E$31,0)</f>
        <v/>
      </c>
      <c r="F39" s="27">
        <f>IFERROR(F27/F$31,0)</f>
        <v/>
      </c>
      <c r="G39" s="27">
        <f>IFERROR(G27/G$31,0)</f>
        <v/>
      </c>
    </row>
    <row r="40">
      <c r="B40" s="31" t="inlineStr">
        <is>
          <t>Wasserverkauf an WLW</t>
        </is>
      </c>
      <c r="C40" s="27">
        <f>IFERROR(C28/C$31,0)</f>
        <v/>
      </c>
      <c r="D40" s="27">
        <f>IFERROR(D28/D$31,0)</f>
        <v/>
      </c>
      <c r="E40" s="27">
        <f>IFERROR(E28/E$31,0)</f>
        <v/>
      </c>
      <c r="F40" s="27">
        <f>IFERROR(F28/F$31,0)</f>
        <v/>
      </c>
      <c r="G40" s="27">
        <f>IFERROR(G28/G$31,0)</f>
        <v/>
      </c>
    </row>
    <row r="41">
      <c r="B41" s="31" t="inlineStr">
        <is>
          <t>Konzerninterne Dienstleistungen</t>
        </is>
      </c>
      <c r="C41" s="27">
        <f>IFERROR(C29/C$31,0)</f>
        <v/>
      </c>
      <c r="D41" s="27">
        <f>IFERROR(D29/D$31,0)</f>
        <v/>
      </c>
      <c r="E41" s="27">
        <f>IFERROR(E29/E$31,0)</f>
        <v/>
      </c>
      <c r="F41" s="27">
        <f>IFERROR(F29/F$31,0)</f>
        <v/>
      </c>
      <c r="G41" s="27">
        <f>IFERROR(G29/G$31,0)</f>
        <v/>
      </c>
    </row>
    <row r="42">
      <c r="B42" s="31" t="inlineStr">
        <is>
          <t>Übrige Umsatzerlöse</t>
        </is>
      </c>
      <c r="C42" s="27">
        <f>IFERROR(C30/C$31,0)</f>
        <v/>
      </c>
      <c r="D42" s="27">
        <f>IFERROR(D30/D$31,0)</f>
        <v/>
      </c>
      <c r="E42" s="27">
        <f>IFERROR(E30/E$31,0)</f>
        <v/>
      </c>
      <c r="F42" s="27">
        <f>IFERROR(F30/F$31,0)</f>
        <v/>
      </c>
      <c r="G42" s="27">
        <f>IFERROR(G30/G$31,0)</f>
        <v/>
      </c>
    </row>
    <row r="43">
      <c r="B43" s="25" t="inlineStr">
        <is>
          <t>Summe</t>
        </is>
      </c>
      <c r="C43" s="44">
        <f>SUM(C36:C42)</f>
        <v/>
      </c>
      <c r="D43" s="44">
        <f>SUM(D36:D42)</f>
        <v/>
      </c>
      <c r="E43" s="44">
        <f>SUM(E36:E42)</f>
        <v/>
      </c>
      <c r="F43" s="44">
        <f>SUM(F36:F42)</f>
        <v/>
      </c>
      <c r="G43" s="44">
        <f>SUM(G36:G42)</f>
        <v/>
      </c>
    </row>
    <row r="45">
      <c r="B45" s="14" t="inlineStr">
        <is>
          <t>Quelle Investitionen: Lagebericht des jeweiligen Jahresabschlusses (JA 2021 S. 5, JA 2022 S. 6, JA 2023 S. 24, JA 2024 S. 25) sowie Geschäftsbericht 2025, Seite 18. Angesetzt ist jeweils die Darstellung des Berichtsjahres selbst. „n.a.“ bedeutet, dass der Bereich im betreffenden Jahr nicht separat ausgewiesen wurde – dies ist nicht mit einem Wert von null gleichzusetzen: 2021 waren die gemeinsamen Bereiche noch auf die Sparten verteilt, die Telekommunikation wurde nur im Jahresabschluss 2024 gesondert gezeigt.</t>
        </is>
      </c>
    </row>
    <row r="46"/>
    <row r="48">
      <c r="B48" s="14" t="inlineStr">
        <is>
          <t>Quelle Umsatzaufteilung: „Aufteilung nach Bereichen“ im Lagebericht (JA 2021 S. 19, JA 2022 S. 20, JA 2023 S. 10, JA 2024 S. 9) sowie Geschäftsbericht 2025, Seite 16. Die Aufteilung 2025 wird nur auf 0,1 Mio. € genau veröffentlicht; die Summe der Sparten (473,8) weicht daher um 0,03 Mio. € vom GuV-Umsatz (473,770) ab. Quelle Absatzmengen: „Absatzentwicklung“ im jeweiligen Lagebericht bzw. Geschäftsbericht 2025, Seite 15.</t>
        </is>
      </c>
    </row>
    <row r="49"/>
  </sheetData>
  <mergeCells count="2">
    <mergeCell ref="B48:G49"/>
    <mergeCell ref="B45:G4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D20"/>
  <sheetViews>
    <sheetView showGridLines="0" workbookViewId="0">
      <selection activeCell="A1" sqref="A1"/>
    </sheetView>
  </sheetViews>
  <sheetFormatPr baseColWidth="8" defaultRowHeight="15"/>
  <cols>
    <col width="9" customWidth="1" min="1" max="1"/>
    <col width="26" customWidth="1" min="2" max="2"/>
    <col width="108" customWidth="1" min="3" max="3"/>
    <col width="9" customWidth="1" min="4" max="4"/>
  </cols>
  <sheetData>
    <row r="2" ht="21" customHeight="1">
      <c r="B2" s="28" t="inlineStr">
        <is>
          <t>ESWE Versorgungs AG – Quellen und Hinweise</t>
        </is>
      </c>
      <c r="C2" s="28" t="n"/>
      <c r="D2" s="28" t="n"/>
    </row>
    <row r="3">
      <c r="B3" s="5" t="inlineStr">
        <is>
          <t>Gegenstand</t>
        </is>
      </c>
      <c r="C3" s="5" t="inlineStr">
        <is>
          <t>Erläuterung</t>
        </is>
      </c>
    </row>
    <row r="4" ht="15" customHeight="1">
      <c r="B4" s="45" t="inlineStr">
        <is>
          <t>Gesellschaft</t>
        </is>
      </c>
      <c r="C4" s="46" t="inlineStr">
        <is>
          <t>ESWE Versorgungs AG, Konradinerallee 25, 65189 Wiesbaden – Amtsgericht Wiesbaden, HRB 2105.</t>
        </is>
      </c>
    </row>
    <row r="5" ht="30" customHeight="1">
      <c r="B5" s="45" t="inlineStr">
        <is>
          <t>Berichtsumfang</t>
        </is>
      </c>
      <c r="C5" s="46" t="inlineStr">
        <is>
          <t>Dargestellt ist ausschließlich der HGB-Einzelabschluss der Geschäftsjahre 2021 bis 2025. Die Tätigkeitsabschlüsse nach § 6b EnWG sind nicht Bestandteil dieser Auswertung.</t>
        </is>
      </c>
    </row>
    <row r="6" ht="30" customHeight="1">
      <c r="B6" s="45" t="inlineStr"/>
      <c r="C6" s="46" t="inlineStr">
        <is>
          <t>Ein Konzernabschluss wird nicht aufgestellt (§ 291 Abs. 1 HGB – Einbeziehung in den Konzernabschluss der WVV Wiesbaden Holding GmbH).</t>
        </is>
      </c>
    </row>
    <row r="7" ht="15" customHeight="1">
      <c r="B7" s="45" t="inlineStr">
        <is>
          <t>Quelle GJ 2021</t>
        </is>
      </c>
      <c r="C7" s="46" t="inlineStr">
        <is>
          <t>Jahres- und Tätigkeitsabschluss nach EnWG zum 31.12.2021, Auszug aus dem Unternehmensregister.</t>
        </is>
      </c>
    </row>
    <row r="8" ht="15" customHeight="1">
      <c r="B8" s="45" t="inlineStr">
        <is>
          <t>Quelle GJ 2022</t>
        </is>
      </c>
      <c r="C8" s="46" t="inlineStr">
        <is>
          <t>Jahres- und Tätigkeitsabschluss nach EnWG zum 31.12.2022, Auszug aus dem Unternehmensregister.</t>
        </is>
      </c>
    </row>
    <row r="9" ht="15" customHeight="1">
      <c r="B9" s="45" t="inlineStr">
        <is>
          <t>Quelle GJ 2023</t>
        </is>
      </c>
      <c r="C9" s="46" t="inlineStr">
        <is>
          <t>Jahresabschluss zum 31.12.2023 und Tätigkeitsabschluss, Auszug aus dem Unternehmensregister.</t>
        </is>
      </c>
    </row>
    <row r="10" ht="15" customHeight="1">
      <c r="B10" s="45" t="inlineStr">
        <is>
          <t>Quelle GJ 2024</t>
        </is>
      </c>
      <c r="C10" s="46" t="inlineStr">
        <is>
          <t>Jahres- und Tätigkeitsabschluss nach EnWG zum 31.12.2024, Tag der Erstellung 16.01.2026.</t>
        </is>
      </c>
    </row>
    <row r="11" ht="45" customHeight="1">
      <c r="B11" s="45" t="inlineStr">
        <is>
          <t>Quelle GJ 2025</t>
        </is>
      </c>
      <c r="C11" s="46" t="inlineStr">
        <is>
          <t>Bericht über das Geschäftsjahr 2025 (Geschäftsbericht), ESWE Versorgungs AG – Bilanz S. 73, Gewinn- und Verlustrechnung S. 74, Kapitalflussrechnung und Investitionen S. 18, Umsatzaufteilung S. 16, Absatz S. 15, Verbindlichkeitenspiegel S. 82.</t>
        </is>
      </c>
    </row>
    <row r="12" ht="60" customHeight="1">
      <c r="B12" s="45" t="inlineStr">
        <is>
          <t>Darstellungseinheit</t>
        </is>
      </c>
      <c r="C12" s="46" t="inlineStr">
        <is>
          <t>Die Abschlüsse werden in T€ veröffentlicht. In dieser Mappe sind sämtliche Beträge in EUR Mio. dargestellt, um dem Financial Model der evm AG / enm zu entsprechen. Die Werte sind exakt hinterlegt (T€ / 1.000) und lediglich auf eine Nachkommastelle gerundet angezeigt; alle Summen und Kontrollen rechnen mit den vollen Werten.</t>
        </is>
      </c>
    </row>
    <row r="13" ht="30" customHeight="1">
      <c r="B13" s="45" t="inlineStr">
        <is>
          <t>Farbkonvention</t>
        </is>
      </c>
      <c r="C13" s="46" t="inlineStr">
        <is>
          <t>Blau = Eingabewert direkt aus dem Abschluss  |  Schwarz = Formel im Blatt  |  Grün = Verweis auf ein anderes Blatt  |  Grau kursiv = im betreffenden Jahr nicht separat ausgewiesen (n.a.).</t>
        </is>
      </c>
    </row>
    <row r="14" ht="45" customHeight="1">
      <c r="B14" s="45" t="inlineStr">
        <is>
          <t>Abweichung 1</t>
        </is>
      </c>
      <c r="C14" s="46" t="inlineStr">
        <is>
          <t>Kapitalflussrechnung 2022: Der JA 2022 nennt 95,4 / -44,9 / -23,5 Mio. €, der JA 2023 für dasselbe Jahr 78,0 / -34,0 / -17,0 Mio. €. Die Summe (27,0 Mio. €) ist in beiden Fassungen identisch – es handelt sich um eine Umgliederung zwischen den Cashflow-Bereichen. Angesetzt sind die Werte des JA 2023.</t>
        </is>
      </c>
    </row>
    <row r="15" ht="45" customHeight="1">
      <c r="B15" s="45" t="inlineStr">
        <is>
          <t>Abweichung 2</t>
        </is>
      </c>
      <c r="C15" s="46" t="inlineStr">
        <is>
          <t>Verbindlichkeiten gegenüber Kreditinstituten 2025: Der Lagebericht (GB 2025 S. 20) nennt 123,7 Mio. €, der Verbindlichkeitenspiegel im Anhang (S. 82) 124.179 T€. Angesetzt ist der Anhangwert, da er mit der Summe der Verbindlichkeiten von 221.277 T€ in der Bilanz zusammenpasst.</t>
        </is>
      </c>
    </row>
    <row r="16" ht="75" customHeight="1">
      <c r="B16" s="45" t="inlineStr">
        <is>
          <t>Abweichung 3</t>
        </is>
      </c>
      <c r="C16" s="46" t="inlineStr">
        <is>
          <t>Investitionen nach Unternehmensbereichen: Der JA 2024 weist eine eigene Zeile „Telekommunikation“ (2024: 1.259 T€; 2023: 919 T€) aus und nennt für 2023 abweichend vom JA 2023 Strom 524 statt 1.005 T€ und Sonstige 376 statt 814 T€. Der GB 2025 verzichtet auf die Zeile Telekommunikation und zeigt in der Vergleichsspalte 2024 Strom 1.259 und Sonstige 1.741 T€. Die Gesamtsummen (27.342 bzw. 27.453 T€) stimmen in allen Fassungen überein. Angesetzt ist jeweils die Darstellung des Berichtsjahres selbst.</t>
        </is>
      </c>
    </row>
    <row r="17" ht="45" customHeight="1">
      <c r="B17" s="45" t="inlineStr">
        <is>
          <t>Abweichung 4</t>
        </is>
      </c>
      <c r="C17" s="46" t="inlineStr">
        <is>
          <t>Ergebnis vor Steuern: Der Lagebericht des GB 2025 nennt für 2025 52,4 Mio. € und für 2024 83,8 Mio. €. Diese Werte stammen aus der betriebswirtschaftlichen Kurzfassung der Ertragslage und weichen von der handelsrechtlichen GuV ab (52.650 bzw. 84.282 T€). Angesetzt sind durchgehend die Werte der GuV.</t>
        </is>
      </c>
    </row>
    <row r="18" ht="45" customHeight="1">
      <c r="B18" s="45" t="inlineStr">
        <is>
          <t>GuV-Gliederung</t>
        </is>
      </c>
      <c r="C18" s="46" t="inlineStr">
        <is>
          <t>Die Positionsnummerierung folgt dem Jahresabschluss 2024. Die GuV 2025 kennt die Position „Einstellung in die anderen Gewinnrücklagen“ nicht; sie ist für 2025 mit null angesetzt, damit die Gliederung über alle fünf Jahre einheitlich ist.</t>
        </is>
      </c>
    </row>
    <row r="19" ht="30" customHeight="1">
      <c r="B19" s="45" t="inlineStr">
        <is>
          <t>Kontrollen</t>
        </is>
      </c>
      <c r="C19" s="46" t="inlineStr">
        <is>
          <t>Jedes Detailblatt enthält Kontrollzeilen, die auf null auflaufen müssen: Bilanz Aktiva ./. Passiva, Bilanzgewinn GuV ./. Bilanz, Finanzmittelfonds ./. Kassenbestand lt. Bilanz sowie Umsatzaufteilung ./. GuV.</t>
        </is>
      </c>
    </row>
    <row r="20" ht="60" customHeight="1">
      <c r="B20" s="45" t="inlineStr">
        <is>
          <t>Formatvorlage</t>
        </is>
      </c>
      <c r="C20" s="46" t="inlineStr">
        <is>
          <t>Aufbau, Schriftart (Univers for Metzler), Schriftgrößen, Rahmen, Farben und Zahlenformate sind aus evm_enm_financial_model_2020_2024_v5 übernommen: Titelbanner weiß auf 003D7C, Kopfzeile weiß auf 3157E3, Zahlenformat #,##0.0 mit Klammern für negative Werte und „–“ für null, Prozente 0,0 %, Vielfache 0,0x, Spalte A als Randspalte, Kennzahlenblöcke durch dünne Linien getrennt.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2026-08-28T08:52:46Z</dcterms:created>
  <dcterms:modified xsi:type="dcterms:W3CDTF">2026-08-28T08:52:46Z</dcterms:modified>
</cp:coreProperties>
</file>