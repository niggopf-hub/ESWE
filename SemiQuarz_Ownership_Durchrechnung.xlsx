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  <sheet xmlns:r="http://schemas.openxmlformats.org/officeDocument/2006/relationships" name="Struktur &amp; Qu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6" fillId="0" borderId="1" pivotButton="0" quotePrefix="0" xfId="0"/>
    <xf numFmtId="10" fontId="5" fillId="0" borderId="1" pivotButton="0" quotePrefix="0" xfId="0"/>
    <xf numFmtId="0" fontId="3" fillId="0" borderId="1" pivotButton="0" quotePrefix="0" xfId="0"/>
    <xf numFmtId="10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" customWidth="1" min="4" max="4"/>
    <col width="42" customWidth="1" min="5" max="5"/>
    <col width="12" customWidth="1" min="6" max="6"/>
  </cols>
  <sheetData>
    <row r="1">
      <c r="A1" s="1" t="inlineStr">
        <is>
          <t>semiQuarz Holding GmbH – Gesellschafterstruktur und Durchrechnung (look-through)</t>
        </is>
      </c>
    </row>
    <row r="2">
      <c r="A2" s="2" t="inlineStr">
        <is>
          <t>Stand 02.09.2026. Quelle der Beteiligungsquoten: Ownership-Grafik Bureau van Dijk. Final zu bestätigen über die Gesellschafterliste, AG Lübeck HRB 13686 HL (Stammkapital 980.000 EUR).</t>
        </is>
      </c>
    </row>
    <row r="4">
      <c r="A4" s="3" t="inlineStr">
        <is>
          <t>1) Beteiligungen (Kantenliste) – blaue Werte sind Eingaben</t>
        </is>
      </c>
      <c r="E4" s="3" t="inlineStr">
        <is>
          <t>2) Effektive Beteiligung an der semiQuarz Holding GmbH</t>
        </is>
      </c>
    </row>
    <row r="5">
      <c r="A5" s="4" t="inlineStr">
        <is>
          <t>Gesellschafter</t>
        </is>
      </c>
      <c r="B5" s="4" t="inlineStr">
        <is>
          <t>hält an</t>
        </is>
      </c>
      <c r="C5" s="4" t="inlineStr">
        <is>
          <t>Anteil</t>
        </is>
      </c>
      <c r="E5" s="4" t="inlineStr">
        <is>
          <t>Person</t>
        </is>
      </c>
      <c r="F5" s="4" t="inlineStr">
        <is>
          <t>effektiv</t>
        </is>
      </c>
    </row>
    <row r="6">
      <c r="A6" s="5" t="inlineStr">
        <is>
          <t>Hartmut Büsche</t>
        </is>
      </c>
      <c r="B6" s="5" t="inlineStr">
        <is>
          <t>Holding</t>
        </is>
      </c>
      <c r="C6" s="6" t="n">
        <v>0.3379</v>
      </c>
      <c r="E6" s="5" t="inlineStr">
        <is>
          <t>Hartmut Büsche</t>
        </is>
      </c>
      <c r="F6" s="7">
        <f>SUMIFS($C$6:$C$14,$A$6:$A$14,$E6,$B$6:$B$14,"Holding")+SUMIFS($C$6:$C$14,$A$6:$A$14,$E6,$B$6:$B$14,"HMB")*SUMIFS($C$6:$C$14,$A$6:$A$14,"HMB",$B$6:$B$14,"Holding")+SUMIFS($C$6:$C$14,$A$6:$A$14,$E6,$B$6:$B$14,"SAJ")*SUMIFS($C$6:$C$14,$A$6:$A$14,"SAJ",$B$6:$B$14,"Holding")</f>
        <v/>
      </c>
    </row>
    <row r="7">
      <c r="A7" s="5" t="inlineStr">
        <is>
          <t>SAJ</t>
        </is>
      </c>
      <c r="B7" s="5" t="inlineStr">
        <is>
          <t>Holding</t>
        </is>
      </c>
      <c r="C7" s="6" t="n">
        <v>0.49</v>
      </c>
      <c r="E7" s="5" t="inlineStr">
        <is>
          <t>Ann-Dorothée Büsche-Maurer</t>
        </is>
      </c>
      <c r="F7" s="7">
        <f>SUMIFS($C$6:$C$14,$A$6:$A$14,$E7,$B$6:$B$14,"Holding")+SUMIFS($C$6:$C$14,$A$6:$A$14,$E7,$B$6:$B$14,"HMB")*SUMIFS($C$6:$C$14,$A$6:$A$14,"HMB",$B$6:$B$14,"Holding")+SUMIFS($C$6:$C$14,$A$6:$A$14,$E7,$B$6:$B$14,"SAJ")*SUMIFS($C$6:$C$14,$A$6:$A$14,"SAJ",$B$6:$B$14,"Holding")</f>
        <v/>
      </c>
    </row>
    <row r="8">
      <c r="A8" s="5" t="inlineStr">
        <is>
          <t>HMB</t>
        </is>
      </c>
      <c r="B8" s="5" t="inlineStr">
        <is>
          <t>Holding</t>
        </is>
      </c>
      <c r="C8" s="6" t="n">
        <v>0.172</v>
      </c>
      <c r="E8" s="5" t="inlineStr">
        <is>
          <t>Sebastian Büsche</t>
        </is>
      </c>
      <c r="F8" s="7">
        <f>SUMIFS($C$6:$C$14,$A$6:$A$14,$E8,$B$6:$B$14,"Holding")+SUMIFS($C$6:$C$14,$A$6:$A$14,$E8,$B$6:$B$14,"HMB")*SUMIFS($C$6:$C$14,$A$6:$A$14,"HMB",$B$6:$B$14,"Holding")+SUMIFS($C$6:$C$14,$A$6:$A$14,$E8,$B$6:$B$14,"SAJ")*SUMIFS($C$6:$C$14,$A$6:$A$14,"SAJ",$B$6:$B$14,"Holding")</f>
        <v/>
      </c>
    </row>
    <row r="9">
      <c r="A9" s="5" t="inlineStr">
        <is>
          <t>Hartmut Büsche</t>
        </is>
      </c>
      <c r="B9" s="5" t="inlineStr">
        <is>
          <t>HMB</t>
        </is>
      </c>
      <c r="C9" s="6" t="n">
        <v>0.51</v>
      </c>
      <c r="E9" s="5" t="inlineStr">
        <is>
          <t>Jan-Felix Büsche</t>
        </is>
      </c>
      <c r="F9" s="7">
        <f>SUMIFS($C$6:$C$14,$A$6:$A$14,$E9,$B$6:$B$14,"Holding")+SUMIFS($C$6:$C$14,$A$6:$A$14,$E9,$B$6:$B$14,"HMB")*SUMIFS($C$6:$C$14,$A$6:$A$14,"HMB",$B$6:$B$14,"Holding")+SUMIFS($C$6:$C$14,$A$6:$A$14,$E9,$B$6:$B$14,"SAJ")*SUMIFS($C$6:$C$14,$A$6:$A$14,"SAJ",$B$6:$B$14,"Holding")</f>
        <v/>
      </c>
    </row>
    <row r="10">
      <c r="A10" s="5" t="inlineStr">
        <is>
          <t>Ann-Dorothée Büsche-Maurer</t>
        </is>
      </c>
      <c r="B10" s="5" t="inlineStr">
        <is>
          <t>HMB</t>
        </is>
      </c>
      <c r="C10" s="6" t="n">
        <v>0.4</v>
      </c>
      <c r="E10" s="5" t="inlineStr">
        <is>
          <t>Heidi Büsche</t>
        </is>
      </c>
      <c r="F10" s="7">
        <f>SUMIFS($C$6:$C$14,$A$6:$A$14,$E10,$B$6:$B$14,"Holding")+SUMIFS($C$6:$C$14,$A$6:$A$14,$E10,$B$6:$B$14,"HMB")*SUMIFS($C$6:$C$14,$A$6:$A$14,"HMB",$B$6:$B$14,"Holding")+SUMIFS($C$6:$C$14,$A$6:$A$14,$E10,$B$6:$B$14,"SAJ")*SUMIFS($C$6:$C$14,$A$6:$A$14,"SAJ",$B$6:$B$14,"Holding")</f>
        <v/>
      </c>
    </row>
    <row r="11">
      <c r="A11" s="5" t="inlineStr">
        <is>
          <t>Heidi Büsche</t>
        </is>
      </c>
      <c r="B11" s="5" t="inlineStr">
        <is>
          <t>HMB</t>
        </is>
      </c>
      <c r="C11" s="6" t="n">
        <v>0.09</v>
      </c>
      <c r="E11" s="8" t="inlineStr">
        <is>
          <t>Summe</t>
        </is>
      </c>
      <c r="F11" s="9">
        <f>SUM(F6:F10)</f>
        <v/>
      </c>
    </row>
    <row r="12">
      <c r="A12" s="5" t="inlineStr">
        <is>
          <t>Ann-Dorothée Büsche-Maurer</t>
        </is>
      </c>
      <c r="B12" s="5" t="inlineStr">
        <is>
          <t>SAJ</t>
        </is>
      </c>
      <c r="C12" s="6">
        <f>1/3</f>
        <v/>
      </c>
    </row>
    <row r="13">
      <c r="A13" s="5" t="inlineStr">
        <is>
          <t>Sebastian Büsche</t>
        </is>
      </c>
      <c r="B13" s="5" t="inlineStr">
        <is>
          <t>SAJ</t>
        </is>
      </c>
      <c r="C13" s="6">
        <f>1/3</f>
        <v/>
      </c>
      <c r="E13" s="3" t="inlineStr">
        <is>
          <t>3) Kontrollen</t>
        </is>
      </c>
    </row>
    <row r="14">
      <c r="A14" s="5" t="inlineStr">
        <is>
          <t>Jan-Felix Büsche</t>
        </is>
      </c>
      <c r="B14" s="5" t="inlineStr">
        <is>
          <t>SAJ</t>
        </is>
      </c>
      <c r="C14" s="6">
        <f>1/3</f>
        <v/>
      </c>
      <c r="E14" s="5" t="inlineStr">
        <is>
          <t>Summe der direkten Anteile an der Holding</t>
        </is>
      </c>
      <c r="F14" s="7">
        <f>SUMIFS($C$6:$C$14,$B$6:$B$14,"Holding")</f>
        <v/>
      </c>
    </row>
    <row r="15">
      <c r="A15" s="2" t="inlineStr">
        <is>
          <t>Kürzel:  Holding = semiQuarz Holding GmbH  ·  HMB = HMB Quarzglas GmbH &amp; Co. KG  ·  SAJ = SAJ Beteiligung und Verwaltung GmbH (Großensee, StK 25.200 EUR, je 1/3)</t>
        </is>
      </c>
      <c r="E15" s="5" t="inlineStr">
        <is>
          <t>Summe der Anteile an HMB</t>
        </is>
      </c>
      <c r="F15" s="7">
        <f>SUMIFS($C$6:$C$14,$B$6:$B$14,"HMB")</f>
        <v/>
      </c>
    </row>
    <row r="16">
      <c r="E16" s="5" t="inlineStr">
        <is>
          <t>Summe der Anteile an SAJ</t>
        </is>
      </c>
      <c r="F16" s="7">
        <f>SUMIFS($C$6:$C$14,$B$6:$B$14,"SAJ")</f>
        <v/>
      </c>
    </row>
    <row r="17">
      <c r="E17" s="5" t="inlineStr">
        <is>
          <t>Differenz: Summe effektiv ./. Summe direkt</t>
        </is>
      </c>
      <c r="F17" s="7">
        <f>F11-F14</f>
        <v/>
      </c>
    </row>
    <row r="19">
      <c r="E19" s="2" t="inlineStr">
        <is>
          <t>Die Summen ergeben 99,99 %: In der BvD-Grafik summieren sich die drei direkten</t>
        </is>
      </c>
    </row>
    <row r="20">
      <c r="E20" s="2" t="inlineStr">
        <is>
          <t>Anteile an der Holding selbst nur auf 99,99 %. Rundungshinweis in der Fußnote setzen.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0" customWidth="1" min="3" max="3"/>
  </cols>
  <sheetData>
    <row r="1">
      <c r="A1" s="1" t="inlineStr">
        <is>
          <t>Konzernstruktur semiQuarz – bestätigter Stand</t>
        </is>
      </c>
    </row>
    <row r="2">
      <c r="A2" s="10" t="inlineStr"/>
      <c r="B2" s="10" t="inlineStr"/>
      <c r="C2" s="10" t="inlineStr"/>
    </row>
    <row r="3">
      <c r="A3" s="3" t="inlineStr">
        <is>
          <t>Ebene</t>
        </is>
      </c>
      <c r="B3" s="3" t="inlineStr">
        <is>
          <t>Gesellschaft / Person</t>
        </is>
      </c>
      <c r="C3" s="3" t="inlineStr">
        <is>
          <t>Anteil bzw. Rolle</t>
        </is>
      </c>
    </row>
    <row r="4">
      <c r="A4" s="10" t="inlineStr">
        <is>
          <t>Gesellschafter der Holding</t>
        </is>
      </c>
      <c r="B4" s="10" t="inlineStr">
        <is>
          <t>SAJ Beteiligung und Verwaltung GmbH</t>
        </is>
      </c>
      <c r="C4" s="10" t="inlineStr">
        <is>
          <t>49,00%</t>
        </is>
      </c>
    </row>
    <row r="5">
      <c r="A5" s="10" t="inlineStr">
        <is>
          <t>Gesellschafter der Holding</t>
        </is>
      </c>
      <c r="B5" s="10" t="inlineStr">
        <is>
          <t>Hartmut Büsche (direkt)</t>
        </is>
      </c>
      <c r="C5" s="10" t="inlineStr">
        <is>
          <t>33,79%</t>
        </is>
      </c>
    </row>
    <row r="6">
      <c r="A6" s="10" t="inlineStr">
        <is>
          <t>Gesellschafter der Holding</t>
        </is>
      </c>
      <c r="B6" s="10" t="inlineStr">
        <is>
          <t>HMB Quarzglas GmbH &amp; Co. KG</t>
        </is>
      </c>
      <c r="C6" s="10" t="inlineStr">
        <is>
          <t>17,20%</t>
        </is>
      </c>
    </row>
    <row r="7">
      <c r="A7" s="10" t="inlineStr">
        <is>
          <t>Holding</t>
        </is>
      </c>
      <c r="B7" s="10" t="inlineStr">
        <is>
          <t>semiQuarz Holding GmbH (AG Lübeck HRB 13686 HL)</t>
        </is>
      </c>
      <c r="C7" s="10" t="inlineStr">
        <is>
          <t>StK 980.000 EUR, 6 Mitarbeiter</t>
        </is>
      </c>
    </row>
    <row r="8">
      <c r="A8" s="10" t="inlineStr">
        <is>
          <t>Beteiligung</t>
        </is>
      </c>
      <c r="B8" s="10" t="inlineStr">
        <is>
          <t>SemiQuarz GmbH &amp; Co. KG (AG München HRA 119951)</t>
        </is>
      </c>
      <c r="C8" s="10" t="inlineStr">
        <is>
          <t>100% – operativ, 33 Mitarbeiter</t>
        </is>
      </c>
    </row>
    <row r="9">
      <c r="A9" s="10" t="inlineStr">
        <is>
          <t>Beteiligung</t>
        </is>
      </c>
      <c r="B9" s="10" t="inlineStr">
        <is>
          <t>SemiQuartz Europe GmbH (AG Lübeck HRB 1431 SB)</t>
        </is>
      </c>
      <c r="C9" s="10" t="inlineStr">
        <is>
          <t>80% – übrige 20% zu verifizieren</t>
        </is>
      </c>
    </row>
    <row r="10">
      <c r="A10" s="10" t="inlineStr">
        <is>
          <t>Beteiligung</t>
        </is>
      </c>
      <c r="B10" s="10" t="inlineStr">
        <is>
          <t>SemiQuarz Besitz GmbH &amp; Co. KG (AG München HRA 119892)</t>
        </is>
      </c>
      <c r="C10" s="10" t="inlineStr">
        <is>
          <t>100% – Besitzgesellschaft</t>
        </is>
      </c>
    </row>
    <row r="11">
      <c r="A11" s="10" t="inlineStr">
        <is>
          <t>Beteiligung</t>
        </is>
      </c>
      <c r="B11" s="10" t="inlineStr">
        <is>
          <t>Der Lasermann GmbH</t>
        </is>
      </c>
      <c r="C11" s="10" t="inlineStr">
        <is>
          <t>100% – nicht operativ</t>
        </is>
      </c>
    </row>
    <row r="12">
      <c r="A12" s="10" t="inlineStr">
        <is>
          <t>Beteiligung</t>
        </is>
      </c>
      <c r="B12" s="10" t="inlineStr">
        <is>
          <t>SemiQuarz Beteiligungsgesellschaft mbH</t>
        </is>
      </c>
      <c r="C12" s="10" t="inlineStr">
        <is>
          <t>100% – Komplementärin beider KGs</t>
        </is>
      </c>
    </row>
    <row r="13">
      <c r="A13" s="10" t="inlineStr"/>
      <c r="B13" s="10" t="inlineStr"/>
      <c r="C13" s="10" t="inlineStr"/>
    </row>
    <row r="14">
      <c r="A14" s="10" t="inlineStr">
        <is>
          <t>Ergebnisse (Jahresüberschuss)</t>
        </is>
      </c>
      <c r="B14" s="10" t="inlineStr">
        <is>
          <t>semiQuarz Holding GmbH</t>
        </is>
      </c>
      <c r="C14" s="10" t="inlineStr">
        <is>
          <t>2024: 8.893.529,91 / 2023: 928.089,37</t>
        </is>
      </c>
    </row>
    <row r="15">
      <c r="A15" s="10" t="inlineStr">
        <is>
          <t>Ergebnisse (Jahresüberschuss)</t>
        </is>
      </c>
      <c r="B15" s="10" t="inlineStr">
        <is>
          <t>SemiQuartz Europe GmbH</t>
        </is>
      </c>
      <c r="C15" s="10" t="inlineStr">
        <is>
          <t>2024: 1.658.854,95 / 2023: 1.666.353,48</t>
        </is>
      </c>
    </row>
    <row r="16">
      <c r="A16" s="10" t="inlineStr">
        <is>
          <t>Ergebnisse (Jahresüberschuss)</t>
        </is>
      </c>
      <c r="B16" s="10" t="inlineStr">
        <is>
          <t>SemiQuarz GmbH &amp; Co. KG</t>
        </is>
      </c>
      <c r="C16" s="10" t="inlineStr">
        <is>
          <t>nicht offengelegt (§§ 264a, 264c, 326 HGB)</t>
        </is>
      </c>
    </row>
    <row r="17">
      <c r="A17" s="10" t="inlineStr"/>
      <c r="B17" s="10" t="inlineStr"/>
      <c r="C17" s="10" t="inlineStr"/>
    </row>
    <row r="18">
      <c r="A18" s="10" t="inlineStr">
        <is>
          <t>Quellen</t>
        </is>
      </c>
      <c r="B18" s="10" t="inlineStr">
        <is>
          <t>Jahresabschlüsse 2024</t>
        </is>
      </c>
      <c r="C18" s="10" t="inlineStr">
        <is>
          <t>Unternehmensregister (Auszüge 20.01.2026 bzw. 29.05.2026)</t>
        </is>
      </c>
    </row>
    <row r="19">
      <c r="A19" s="10" t="inlineStr">
        <is>
          <t>Quellen</t>
        </is>
      </c>
      <c r="B19" s="10" t="inlineStr">
        <is>
          <t>Beteiligungsquoten</t>
        </is>
      </c>
      <c r="C19" s="10" t="inlineStr">
        <is>
          <t>Bureau van Dijk Ownership-/Subsidiary-Grafik</t>
        </is>
      </c>
    </row>
    <row r="20">
      <c r="A20" s="10" t="inlineStr">
        <is>
          <t>Quellen</t>
        </is>
      </c>
      <c r="B20" s="10" t="inlineStr">
        <is>
          <t>Offen</t>
        </is>
      </c>
      <c r="C20" s="10" t="inlineStr">
        <is>
          <t>Gesellschafterlisten Holding (HRB 13686 HL) und Europe (HRB 1431 SB)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2026-09-02T08:35:54Z</dcterms:created>
  <dcterms:modified xmlns:dcterms="http://purl.org/dc/terms/" xmlns:xsi="http://www.w3.org/2001/XMLSchema-instance" xsi:type="dcterms:W3CDTF">2026-09-02T08:35:54Z</dcterms:modified>
</cp:coreProperties>
</file>