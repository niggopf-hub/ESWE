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Output&gt;&gt;" sheetId="2" state="visible" r:id="rId2"/>
    <sheet xmlns:r="http://schemas.openxmlformats.org/officeDocument/2006/relationships" name="Overview FS" sheetId="3" state="visible" r:id="rId3"/>
    <sheet xmlns:r="http://schemas.openxmlformats.org/officeDocument/2006/relationships" name="Input&gt;&gt;" sheetId="4" state="visible" r:id="rId4"/>
    <sheet xmlns:r="http://schemas.openxmlformats.org/officeDocument/2006/relationships" name="GES Bilanz" sheetId="5" state="visible" r:id="rId5"/>
    <sheet xmlns:r="http://schemas.openxmlformats.org/officeDocument/2006/relationships" name="GES GuV" sheetId="6" state="visible" r:id="rId6"/>
    <sheet xmlns:r="http://schemas.openxmlformats.org/officeDocument/2006/relationships" name="GES Cashflow" sheetId="7" state="visible" r:id="rId7"/>
    <sheet xmlns:r="http://schemas.openxmlformats.org/officeDocument/2006/relationships" name="GES KPIs" sheetId="8" state="visible" r:id="rId8"/>
    <sheet xmlns:r="http://schemas.openxmlformats.org/officeDocument/2006/relationships" name="GES Capex Revenue" sheetId="9" state="visible" r:id="rId9"/>
    <sheet xmlns:r="http://schemas.openxmlformats.org/officeDocument/2006/relationships" name="Quellen &amp; Hinweise" sheetId="10" state="visible" r:id="rId10"/>
  </sheets>
  <definedNames/>
  <calcPr calcId="124519" fullCalcOnLoad="1"/>
</workbook>
</file>

<file path=xl/styles.xml><?xml version="1.0" encoding="utf-8"?>
<styleSheet xmlns="http://schemas.openxmlformats.org/spreadsheetml/2006/main">
  <numFmts count="4">
    <numFmt numFmtId="164" formatCode="#,##0.0;\(#,##0.0\);\-"/>
    <numFmt numFmtId="165" formatCode="0.0%;[Red]\(0.0%\);\-"/>
    <numFmt numFmtId="166" formatCode="0.0\x;[Red]\(0.0\x\);\-"/>
    <numFmt numFmtId="167" formatCode="#,##0;\(#,##0\);\-"/>
  </numFmts>
  <fonts count="22">
    <font>
      <name val="Calibri"/>
      <family val="2"/>
      <color theme="1"/>
      <sz val="11"/>
      <scheme val="minor"/>
    </font>
    <font>
      <name val="Univers for Metzler"/>
      <b val="1"/>
      <color rgb="FFFFFFFF"/>
      <sz val="16"/>
    </font>
    <font>
      <name val="Univers for Metzler"/>
      <b val="1"/>
      <sz val="12"/>
    </font>
    <font>
      <name val="Univers for Metzler"/>
      <i val="1"/>
      <color rgb="FF666666"/>
      <sz val="10"/>
    </font>
    <font>
      <name val="Univers for Metzler"/>
      <b val="1"/>
      <color rgb="FFFFFFFF"/>
      <sz val="11"/>
    </font>
    <font>
      <name val="Univers for Metzler"/>
      <b val="1"/>
      <sz val="11"/>
    </font>
    <font>
      <name val="Univers for Metzler"/>
      <sz val="11"/>
    </font>
    <font>
      <name val="Univers for Metzler"/>
      <b val="1"/>
      <color rgb="FF0000FF"/>
      <sz val="11"/>
    </font>
    <font>
      <name val="Univers for Metzler"/>
      <b val="1"/>
      <color rgb="FF000000"/>
      <sz val="11"/>
    </font>
    <font>
      <name val="Univers for Metzler"/>
      <b val="1"/>
      <color rgb="FF008000"/>
      <sz val="11"/>
    </font>
    <font>
      <name val="Univers for Metzler"/>
      <b val="1"/>
      <color rgb="FF808080"/>
      <sz val="11"/>
    </font>
    <font>
      <name val="Univers for Metzler"/>
      <i val="1"/>
      <color rgb="FF666666"/>
      <sz val="8"/>
    </font>
    <font>
      <name val="Univers for Metzler"/>
      <color rgb="FF008000"/>
      <sz val="11"/>
    </font>
    <font>
      <name val="Univers for Metzler"/>
      <color rgb="FF000000"/>
      <sz val="11"/>
    </font>
    <font>
      <name val="Univers for Metzler"/>
      <b val="1"/>
      <color rgb="FF003D7C"/>
      <sz val="11"/>
    </font>
    <font>
      <name val="Univers for Metzler"/>
      <b val="1"/>
      <color rgb="FF003D7C"/>
      <sz val="10"/>
    </font>
    <font>
      <name val="Univers for Metzler"/>
      <sz val="10"/>
    </font>
    <font>
      <name val="Univers for Metzler"/>
      <color rgb="FF008000"/>
      <sz val="10"/>
    </font>
    <font>
      <name val="Univers for Metzler"/>
      <b val="1"/>
      <color rgb="FFFFFFFF"/>
      <sz val="14"/>
    </font>
    <font>
      <name val="Univers for Metzler"/>
      <color rgb="FF0000FF"/>
      <sz val="11"/>
    </font>
    <font>
      <name val="Univers for Metzler"/>
      <i val="1"/>
      <color rgb="FF808080"/>
      <sz val="11"/>
    </font>
    <font>
      <name val="Univers for Metzler"/>
      <i val="1"/>
      <color rgb="FF666666"/>
      <sz val="11"/>
    </font>
  </fonts>
  <fills count="6">
    <fill>
      <patternFill/>
    </fill>
    <fill>
      <patternFill patternType="gray125"/>
    </fill>
    <fill>
      <patternFill patternType="solid">
        <fgColor rgb="00003D7C"/>
      </patternFill>
    </fill>
    <fill>
      <patternFill patternType="solid">
        <fgColor rgb="003157E3"/>
      </patternFill>
    </fill>
    <fill>
      <patternFill patternType="solid">
        <fgColor rgb="00A5CAFB"/>
      </patternFill>
    </fill>
    <fill>
      <patternFill patternType="solid">
        <fgColor rgb="FF003D7C"/>
      </patternFill>
    </fill>
  </fills>
  <borders count="14">
    <border>
      <left/>
      <right/>
      <top/>
      <bottom/>
      <diagonal/>
    </border>
    <border>
      <bottom style="thin">
        <color rgb="FF000000"/>
      </bottom>
    </border>
    <border>
      <top style="thin">
        <color rgb="FF000000"/>
      </top>
    </border>
    <border>
      <top style="thin">
        <color rgb="FF000000"/>
      </top>
      <bottom style="thin">
        <color rgb="FF000000"/>
      </bottom>
    </border>
    <border>
      <left style="thin">
        <color rgb="FF003D7C"/>
      </left>
      <right/>
      <top style="thin">
        <color rgb="FF003D7C"/>
      </top>
      <bottom/>
    </border>
    <border>
      <left/>
      <right/>
      <top style="thin">
        <color rgb="FF003D7C"/>
      </top>
      <bottom/>
    </border>
    <border>
      <left/>
      <right style="thin">
        <color rgb="FF003D7C"/>
      </right>
      <top style="thin">
        <color rgb="FF003D7C"/>
      </top>
      <bottom/>
    </border>
    <border>
      <left style="thin">
        <color rgb="FF003D7C"/>
      </left>
      <right/>
      <top/>
      <bottom/>
    </border>
    <border>
      <left/>
      <right/>
      <top/>
      <bottom/>
    </border>
    <border>
      <left/>
      <right style="thin">
        <color rgb="FF003D7C"/>
      </right>
      <top/>
      <bottom/>
    </border>
    <border>
      <left style="thin">
        <color rgb="FF003D7C"/>
      </left>
      <right/>
      <top/>
      <bottom style="thin">
        <color rgb="FF003D7C"/>
      </bottom>
    </border>
    <border>
      <left/>
      <right/>
      <top/>
      <bottom style="thin">
        <color rgb="FF003D7C"/>
      </bottom>
    </border>
    <border>
      <left/>
      <right style="thin">
        <color rgb="FF003D7C"/>
      </right>
      <top/>
      <bottom style="thin">
        <color rgb="FF003D7C"/>
      </bottom>
    </border>
    <border/>
  </borders>
  <cellStyleXfs count="1">
    <xf numFmtId="0" fontId="0" fillId="0" borderId="0"/>
  </cellStyleXfs>
  <cellXfs count="87">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0" borderId="0" pivotButton="0" quotePrefix="0" xfId="0"/>
    <xf numFmtId="0" fontId="4" fillId="3" borderId="0" applyAlignment="1" pivotButton="0" quotePrefix="0" xfId="0">
      <alignment vertical="center"/>
    </xf>
    <xf numFmtId="0" fontId="4" fillId="3" borderId="0" applyAlignment="1" pivotButton="0" quotePrefix="0" xfId="0">
      <alignment horizontal="left" vertical="center"/>
    </xf>
    <xf numFmtId="0" fontId="4" fillId="3" borderId="0" applyAlignment="1" pivotButton="0" quotePrefix="0" xfId="0">
      <alignment horizontal="right" vertical="center"/>
    </xf>
    <xf numFmtId="0" fontId="5" fillId="0" borderId="0" applyAlignment="1" pivotButton="0" quotePrefix="0" xfId="0">
      <alignment horizontal="left" vertical="center"/>
    </xf>
    <xf numFmtId="0" fontId="6" fillId="0" borderId="0" applyAlignment="1" pivotButton="0" quotePrefix="0" xfId="0">
      <alignment horizontal="left" vertical="center"/>
    </xf>
    <xf numFmtId="0" fontId="5" fillId="0" borderId="0" pivotButton="0" quotePrefix="0" xfId="0"/>
    <xf numFmtId="0" fontId="7" fillId="0" borderId="0" applyAlignment="1" pivotButton="0" quotePrefix="0" xfId="0">
      <alignment horizontal="left" vertical="center" indent="1"/>
    </xf>
    <xf numFmtId="0" fontId="8" fillId="0" borderId="0" applyAlignment="1" pivotButton="0" quotePrefix="0" xfId="0">
      <alignment horizontal="left" vertical="center" indent="1"/>
    </xf>
    <xf numFmtId="0" fontId="9" fillId="0" borderId="0" applyAlignment="1" pivotButton="0" quotePrefix="0" xfId="0">
      <alignment horizontal="left" vertical="center" indent="1"/>
    </xf>
    <xf numFmtId="0" fontId="10" fillId="0" borderId="0" applyAlignment="1" pivotButton="0" quotePrefix="0" xfId="0">
      <alignment horizontal="left" vertical="center" indent="1"/>
    </xf>
    <xf numFmtId="0" fontId="11" fillId="0" borderId="0" applyAlignment="1" pivotButton="0" quotePrefix="0" xfId="0">
      <alignment vertical="top" wrapText="1"/>
    </xf>
    <xf numFmtId="0" fontId="14" fillId="0" borderId="0" applyAlignment="1" pivotButton="0" quotePrefix="0" xfId="0">
      <alignment vertical="center"/>
    </xf>
    <xf numFmtId="0" fontId="15" fillId="4" borderId="4" applyAlignment="1" pivotButton="0" quotePrefix="0" xfId="0">
      <alignment horizontal="left" vertical="center"/>
    </xf>
    <xf numFmtId="0" fontId="15" fillId="4" borderId="5" applyAlignment="1" pivotButton="0" quotePrefix="0" xfId="0">
      <alignment horizontal="right" vertical="center"/>
    </xf>
    <xf numFmtId="0" fontId="15" fillId="4" borderId="6" applyAlignment="1" pivotButton="0" quotePrefix="0" xfId="0">
      <alignment horizontal="right" vertical="center"/>
    </xf>
    <xf numFmtId="0" fontId="5" fillId="0" borderId="1" applyAlignment="1" pivotButton="0" quotePrefix="0" xfId="0">
      <alignment horizontal="left" vertical="center"/>
    </xf>
    <xf numFmtId="164" fontId="9" fillId="0" borderId="1" applyAlignment="1" pivotButton="0" quotePrefix="0" xfId="0">
      <alignment horizontal="right" vertical="center"/>
    </xf>
    <xf numFmtId="0" fontId="16" fillId="0" borderId="7" applyAlignment="1" pivotButton="0" quotePrefix="0" xfId="0">
      <alignment horizontal="left" vertical="center"/>
    </xf>
    <xf numFmtId="164" fontId="17" fillId="0" borderId="8" applyAlignment="1" pivotButton="0" quotePrefix="0" xfId="0">
      <alignment horizontal="right" vertical="center"/>
    </xf>
    <xf numFmtId="164" fontId="17" fillId="0" borderId="9" applyAlignment="1" pivotButton="0" quotePrefix="0" xfId="0">
      <alignment horizontal="right" vertical="center"/>
    </xf>
    <xf numFmtId="164" fontId="12" fillId="0" borderId="0" applyAlignment="1" pivotButton="0" quotePrefix="0" xfId="0">
      <alignment horizontal="right" vertical="center"/>
    </xf>
    <xf numFmtId="165" fontId="12" fillId="0" borderId="0" applyAlignment="1" pivotButton="0" quotePrefix="0" xfId="0">
      <alignment horizontal="right" vertical="center"/>
    </xf>
    <xf numFmtId="0" fontId="16" fillId="0" borderId="10" applyAlignment="1" pivotButton="0" quotePrefix="0" xfId="0">
      <alignment horizontal="left" vertical="center"/>
    </xf>
    <xf numFmtId="164" fontId="17" fillId="0" borderId="11" applyAlignment="1" pivotButton="0" quotePrefix="0" xfId="0">
      <alignment horizontal="right" vertical="center"/>
    </xf>
    <xf numFmtId="164" fontId="17" fillId="0" borderId="12" applyAlignment="1" pivotButton="0" quotePrefix="0" xfId="0">
      <alignment horizontal="right" vertical="center"/>
    </xf>
    <xf numFmtId="164" fontId="9" fillId="0" borderId="0" applyAlignment="1" pivotButton="0" quotePrefix="0" xfId="0">
      <alignment horizontal="right" vertical="center"/>
    </xf>
    <xf numFmtId="0" fontId="6" fillId="0" borderId="1" applyAlignment="1" pivotButton="0" quotePrefix="0" xfId="0">
      <alignment horizontal="left" vertical="center"/>
    </xf>
    <xf numFmtId="164" fontId="12" fillId="0" borderId="1" applyAlignment="1" pivotButton="0" quotePrefix="0" xfId="0">
      <alignment horizontal="right" vertical="center"/>
    </xf>
    <xf numFmtId="164" fontId="8" fillId="0" borderId="0" applyAlignment="1" pivotButton="0" quotePrefix="0" xfId="0">
      <alignment horizontal="right" vertical="center"/>
    </xf>
    <xf numFmtId="166" fontId="17" fillId="0" borderId="11" applyAlignment="1" pivotButton="0" quotePrefix="0" xfId="0">
      <alignment horizontal="right" vertical="center"/>
    </xf>
    <xf numFmtId="166" fontId="17" fillId="0" borderId="12" applyAlignment="1" pivotButton="0" quotePrefix="0" xfId="0">
      <alignment horizontal="right" vertical="center"/>
    </xf>
    <xf numFmtId="165" fontId="9" fillId="0" borderId="1" applyAlignment="1" pivotButton="0" quotePrefix="0" xfId="0">
      <alignment horizontal="right" vertical="center"/>
    </xf>
    <xf numFmtId="165" fontId="17" fillId="0" borderId="11" applyAlignment="1" pivotButton="0" quotePrefix="0" xfId="0">
      <alignment horizontal="right" vertical="center"/>
    </xf>
    <xf numFmtId="165" fontId="17" fillId="0" borderId="12" applyAlignment="1" pivotButton="0" quotePrefix="0" xfId="0">
      <alignment horizontal="right" vertical="center"/>
    </xf>
    <xf numFmtId="166" fontId="9" fillId="0" borderId="1" applyAlignment="1" pivotButton="0" quotePrefix="0" xfId="0">
      <alignment horizontal="right" vertical="center"/>
    </xf>
    <xf numFmtId="0" fontId="5" fillId="0" borderId="3" applyAlignment="1" pivotButton="0" quotePrefix="0" xfId="0">
      <alignment horizontal="left" vertical="center"/>
    </xf>
    <xf numFmtId="164" fontId="8" fillId="0" borderId="3" applyAlignment="1" pivotButton="0" quotePrefix="0" xfId="0">
      <alignment horizontal="right" vertical="center"/>
    </xf>
    <xf numFmtId="165" fontId="13" fillId="0" borderId="0" applyAlignment="1" pivotButton="0" quotePrefix="0" xfId="0">
      <alignment horizontal="right" vertical="center"/>
    </xf>
    <xf numFmtId="167" fontId="17" fillId="0" borderId="8" applyAlignment="1" pivotButton="0" quotePrefix="0" xfId="0">
      <alignment horizontal="right" vertical="center"/>
    </xf>
    <xf numFmtId="167" fontId="17" fillId="0" borderId="9" applyAlignment="1" pivotButton="0" quotePrefix="0" xfId="0">
      <alignment horizontal="right" vertical="center"/>
    </xf>
    <xf numFmtId="0" fontId="18" fillId="2" borderId="0" applyAlignment="1" pivotButton="0" quotePrefix="0" xfId="0">
      <alignment vertical="center"/>
    </xf>
    <xf numFmtId="0" fontId="5" fillId="0" borderId="2" applyAlignment="1" pivotButton="0" quotePrefix="0" xfId="0">
      <alignment horizontal="left" vertical="center"/>
    </xf>
    <xf numFmtId="164" fontId="8" fillId="0" borderId="2" applyAlignment="1" pivotButton="0" quotePrefix="0" xfId="0">
      <alignment horizontal="right" vertical="center"/>
    </xf>
    <xf numFmtId="0" fontId="6" fillId="0" borderId="0" applyAlignment="1" pivotButton="0" quotePrefix="0" xfId="0">
      <alignment horizontal="left" vertical="center" indent="1"/>
    </xf>
    <xf numFmtId="164" fontId="19" fillId="0" borderId="0" applyAlignment="1" pivotButton="0" quotePrefix="0" xfId="0">
      <alignment horizontal="right" vertical="center"/>
    </xf>
    <xf numFmtId="164" fontId="7" fillId="0" borderId="0" applyAlignment="1" pivotButton="0" quotePrefix="0" xfId="0">
      <alignment horizontal="right" vertical="center"/>
    </xf>
    <xf numFmtId="164" fontId="13" fillId="0" borderId="0" applyAlignment="1" pivotButton="0" quotePrefix="0" xfId="0">
      <alignment horizontal="right" vertical="center"/>
    </xf>
    <xf numFmtId="165" fontId="13" fillId="0" borderId="1" applyAlignment="1" pivotButton="0" quotePrefix="0" xfId="0">
      <alignment horizontal="right" vertical="center"/>
    </xf>
    <xf numFmtId="164" fontId="8" fillId="0" borderId="1" applyAlignment="1" pivotButton="0" quotePrefix="0" xfId="0">
      <alignment horizontal="right" vertical="center"/>
    </xf>
    <xf numFmtId="165" fontId="8" fillId="0" borderId="0" applyAlignment="1" pivotButton="0" quotePrefix="0" xfId="0">
      <alignment horizontal="right" vertical="center"/>
    </xf>
    <xf numFmtId="166" fontId="8" fillId="0" borderId="1" applyAlignment="1" pivotButton="0" quotePrefix="0" xfId="0">
      <alignment horizontal="right" vertical="center"/>
    </xf>
    <xf numFmtId="167" fontId="12" fillId="0" borderId="0" applyAlignment="1" pivotButton="0" quotePrefix="0" xfId="0">
      <alignment horizontal="right" vertical="center"/>
    </xf>
    <xf numFmtId="164" fontId="20" fillId="0" borderId="0" applyAlignment="1" pivotButton="0" quotePrefix="0" xfId="0">
      <alignment horizontal="right" vertical="center"/>
    </xf>
    <xf numFmtId="167" fontId="19" fillId="0" borderId="0" applyAlignment="1" pivotButton="0" quotePrefix="0" xfId="0">
      <alignment horizontal="right" vertical="center"/>
    </xf>
    <xf numFmtId="0" fontId="6" fillId="0" borderId="3" applyAlignment="1" pivotButton="0" quotePrefix="0" xfId="0">
      <alignment horizontal="left" vertical="center"/>
    </xf>
    <xf numFmtId="164" fontId="13" fillId="0" borderId="3" applyAlignment="1" pivotButton="0" quotePrefix="0" xfId="0">
      <alignment horizontal="right" vertical="center"/>
    </xf>
    <xf numFmtId="165" fontId="8" fillId="0" borderId="3" applyAlignment="1" pivotButton="0" quotePrefix="0" xfId="0">
      <alignment horizontal="right" vertical="center"/>
    </xf>
    <xf numFmtId="0" fontId="5" fillId="0" borderId="0" applyAlignment="1" pivotButton="0" quotePrefix="0" xfId="0">
      <alignment horizontal="left" vertical="top"/>
    </xf>
    <xf numFmtId="0" fontId="6" fillId="0" borderId="0" applyAlignment="1" pivotButton="0" quotePrefix="0" xfId="0">
      <alignment horizontal="left" vertical="top" wrapText="1"/>
    </xf>
    <xf numFmtId="0" fontId="7" fillId="0" borderId="0" pivotButton="0" quotePrefix="0" xfId="0"/>
    <xf numFmtId="0" fontId="21" fillId="0" borderId="0" pivotButton="0" quotePrefix="0" xfId="0"/>
    <xf numFmtId="0" fontId="6" fillId="0" borderId="13" pivotButton="0" quotePrefix="0" xfId="0"/>
    <xf numFmtId="0" fontId="14" fillId="0" borderId="13" applyAlignment="1" pivotButton="0" quotePrefix="0" xfId="0">
      <alignment vertical="center"/>
    </xf>
    <xf numFmtId="0" fontId="6" fillId="0" borderId="13" applyAlignment="1" pivotButton="0" quotePrefix="0" xfId="0">
      <alignment horizontal="left" vertical="center"/>
    </xf>
    <xf numFmtId="0" fontId="6" fillId="0" borderId="13" applyAlignment="1" pivotButton="0" quotePrefix="0" xfId="0">
      <alignment horizontal="right" vertical="center"/>
    </xf>
    <xf numFmtId="0" fontId="4" fillId="5" borderId="13" applyAlignment="1" pivotButton="0" quotePrefix="0" xfId="0">
      <alignment horizontal="left" vertical="center"/>
    </xf>
    <xf numFmtId="0" fontId="4" fillId="5" borderId="13" applyAlignment="1" pivotButton="0" quotePrefix="0" xfId="0">
      <alignment horizontal="right"/>
    </xf>
    <xf numFmtId="164" fontId="9" fillId="0" borderId="13" applyAlignment="1" pivotButton="0" quotePrefix="0" xfId="0">
      <alignment horizontal="right"/>
    </xf>
    <xf numFmtId="165" fontId="9" fillId="0" borderId="13" applyAlignment="1" pivotButton="0" quotePrefix="0" xfId="0">
      <alignment horizontal="right"/>
    </xf>
    <xf numFmtId="166" fontId="9" fillId="0" borderId="13" applyAlignment="1" pivotButton="0" quotePrefix="0" xfId="0">
      <alignment horizontal="right"/>
    </xf>
    <xf numFmtId="3" fontId="9" fillId="0" borderId="13" applyAlignment="1" pivotButton="0" quotePrefix="0" xfId="0">
      <alignment horizontal="right"/>
    </xf>
    <xf numFmtId="0" fontId="6" fillId="0" borderId="13" applyAlignment="1" pivotButton="0" quotePrefix="0" xfId="0">
      <alignment vertical="top" wrapText="1"/>
    </xf>
    <xf numFmtId="0" fontId="11" fillId="0" borderId="13" pivotButton="0" quotePrefix="0" xfId="0"/>
    <xf numFmtId="0" fontId="6" fillId="0" borderId="0" pivotButton="0" quotePrefix="0" xfId="0"/>
    <xf numFmtId="0" fontId="19" fillId="0" borderId="0" pivotButton="0" quotePrefix="0" xfId="0"/>
    <xf numFmtId="0" fontId="11" fillId="0" borderId="0" pivotButton="0" quotePrefix="0" xfId="0"/>
    <xf numFmtId="164" fontId="9" fillId="0" borderId="0" applyAlignment="1" pivotButton="0" quotePrefix="0" xfId="0">
      <alignment horizontal="right"/>
    </xf>
    <xf numFmtId="164" fontId="13" fillId="0" borderId="0" applyAlignment="1" pivotButton="0" quotePrefix="0" xfId="0">
      <alignment horizontal="right"/>
    </xf>
    <xf numFmtId="165" fontId="13" fillId="0" borderId="0" applyAlignment="1" pivotButton="0" quotePrefix="0" xfId="0">
      <alignment horizontal="right"/>
    </xf>
    <xf numFmtId="164" fontId="19" fillId="0" borderId="0" pivotButton="0" quotePrefix="0" xfId="0"/>
    <xf numFmtId="166" fontId="13" fillId="0" borderId="0" applyAlignment="1" pivotButton="0" quotePrefix="0" xfId="0">
      <alignment horizontal="right"/>
    </xf>
    <xf numFmtId="167" fontId="19" fillId="0" borderId="0" pivotButton="0" quotePrefix="0" xfId="0"/>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showGridLines="0" workbookViewId="0">
      <selection activeCell="A1" sqref="A1"/>
    </sheetView>
  </sheetViews>
  <sheetFormatPr baseColWidth="8" defaultRowHeight="15"/>
  <cols>
    <col width="9" customWidth="1" min="1" max="1"/>
    <col width="46" customWidth="1" min="2" max="2"/>
    <col width="22" customWidth="1" min="3" max="3"/>
    <col width="22" customWidth="1" min="4" max="4"/>
    <col width="22" customWidth="1" min="5" max="5"/>
    <col width="22" customWidth="1" min="6" max="6"/>
    <col width="22" customWidth="1" min="7" max="7"/>
    <col width="9" customWidth="1" min="8" max="8"/>
  </cols>
  <sheetData>
    <row r="1"/>
    <row r="2" ht="21" customHeight="1">
      <c r="B2" s="1" t="inlineStr">
        <is>
          <t>‹Gesellschaft› – Financial Model ‹J1›–‹J5›</t>
        </is>
      </c>
      <c r="C2" s="1" t="n"/>
      <c r="D2" s="1" t="n"/>
      <c r="E2" s="1" t="n"/>
      <c r="F2" s="1" t="n"/>
      <c r="G2" s="1" t="n"/>
    </row>
    <row r="3"/>
    <row r="4">
      <c r="B4" s="2" t="inlineStr">
        <is>
          <t>‹HGB-Einzelabschluss / Konzernabschluss› · Geschäftsjahre ‹J1› bis ‹J5›</t>
        </is>
      </c>
    </row>
    <row r="5">
      <c r="B5" s="3" t="inlineStr">
        <is>
          <t>Alle Beträge in Mio. EUR, sofern nicht anders vermerkt</t>
        </is>
      </c>
    </row>
    <row r="6"/>
    <row r="7">
      <c r="B7" s="4" t="inlineStr">
        <is>
          <t>Inhalt</t>
        </is>
      </c>
      <c r="C7" s="5" t="inlineStr">
        <is>
          <t>Inhalt / Beschreibung</t>
        </is>
      </c>
      <c r="D7" s="6" t="n"/>
      <c r="E7" s="6" t="n"/>
      <c r="F7" s="6" t="n"/>
      <c r="G7" s="6" t="n"/>
    </row>
    <row r="8">
      <c r="B8" s="7" t="inlineStr">
        <is>
          <t>Overview FS</t>
        </is>
      </c>
      <c r="C8" s="8" t="inlineStr">
        <is>
          <t>Verdichtete Ertrags-, Finanz- und Vermögenslage sowie Kennzahlen 2021–2025</t>
        </is>
      </c>
    </row>
    <row r="9">
      <c r="B9" s="7" t="inlineStr">
        <is>
          <t>GES Bilanz</t>
        </is>
      </c>
      <c r="C9" s="8" t="inlineStr">
        <is>
          <t>Bilanz zum 31. Dezember, Gliederung gem. § 266 HGB</t>
        </is>
      </c>
    </row>
    <row r="10">
      <c r="B10" s="7" t="inlineStr">
        <is>
          <t>GES GuV</t>
        </is>
      </c>
      <c r="C10" s="8" t="inlineStr">
        <is>
          <t>Gewinn- und Verlustrechnung, Gesamtkostenverfahren gem. § 275 Abs. 2 HGB</t>
        </is>
      </c>
    </row>
    <row r="11">
      <c r="B11" s="7" t="inlineStr">
        <is>
          <t>GES Cashflow</t>
        </is>
      </c>
      <c r="C11" s="8" t="inlineStr">
        <is>
          <t>Kapitalflussrechnung nach DRS 21 (veröffentlichte Kurzfassung)</t>
        </is>
      </c>
    </row>
    <row r="12">
      <c r="B12" s="7" t="inlineStr">
        <is>
          <t>GES KPIs</t>
        </is>
      </c>
      <c r="C12" s="8" t="inlineStr">
        <is>
          <t>Key Financials – Marge, EBITDA, Net Debt, Eigenkapitalquote, Capex</t>
        </is>
      </c>
    </row>
    <row r="13">
      <c r="B13" s="7" t="inlineStr">
        <is>
          <t>GES Capex Revenue</t>
        </is>
      </c>
      <c r="C13" s="8" t="inlineStr">
        <is>
          <t>Investitionen und Umsatzerlöse nach Unternehmensbereichen, Absatzmengen</t>
        </is>
      </c>
    </row>
    <row r="14">
      <c r="B14" s="7" t="inlineStr">
        <is>
          <t>Quellen &amp; Hinweise</t>
        </is>
      </c>
      <c r="C14" s="8" t="inlineStr">
        <is>
          <t>Quellenverzeichnis, Farbkonvention, Abweichungen und Umgliederungen</t>
        </is>
      </c>
    </row>
    <row r="15"/>
    <row r="16">
      <c r="B16" s="9" t="inlineStr">
        <is>
          <t>Farbkonvention</t>
        </is>
      </c>
    </row>
    <row r="17">
      <c r="B17" s="10" t="inlineStr">
        <is>
          <t>Blau</t>
        </is>
      </c>
      <c r="C17" s="8" t="inlineStr">
        <is>
          <t>Eingabewert direkt aus dem Jahresabschluss bzw. Geschäftsbericht</t>
        </is>
      </c>
    </row>
    <row r="18">
      <c r="B18" s="11" t="inlineStr">
        <is>
          <t>Schwarz</t>
        </is>
      </c>
      <c r="C18" s="8" t="inlineStr">
        <is>
          <t>Formel innerhalb des Blattes</t>
        </is>
      </c>
    </row>
    <row r="19">
      <c r="B19" s="12" t="inlineStr">
        <is>
          <t>Grün</t>
        </is>
      </c>
      <c r="C19" s="8" t="inlineStr">
        <is>
          <t>Verweis auf ein anderes Blatt dieser Mappe</t>
        </is>
      </c>
    </row>
    <row r="20">
      <c r="B20" s="13" t="inlineStr">
        <is>
          <t>Grau kursiv</t>
        </is>
      </c>
      <c r="C20" s="8" t="inlineStr">
        <is>
          <t>Position im betreffenden Jahr nicht separat ausgewiesen (n.a.)</t>
        </is>
      </c>
    </row>
    <row r="21"/>
    <row r="22">
      <c r="B22" s="14" t="inlineStr">
        <is>
          <t>Sämtliche Zwischen- und Endsummen sind Formeln. Overview FS trägt rechts die think-cell-Blöcke je Folienobjekt. Definitionen nach Einheit (EBIT/EBITDA) und Net-Debt-Stufe stehen als Schalter auf dem KPI-Blatt und wortgleich in Quellen &amp; Hinweise.</t>
        </is>
      </c>
    </row>
    <row r="23"/>
    <row r="24">
      <c r="B24" s="9" t="inlineStr">
        <is>
          <t>Erstes Geschäftsjahr</t>
        </is>
      </c>
      <c r="C24" s="63" t="n">
        <v>2021</v>
      </c>
      <c r="D24" s="64" t="inlineStr">
        <is>
          <t>blau = Eingabe; alle Jahreszeilen der Mappe hängen daran</t>
        </is>
      </c>
    </row>
  </sheetData>
  <mergeCells count="1">
    <mergeCell ref="B22:G23"/>
  </mergeCells>
  <pageMargins left="0.75" right="0.75" top="1" bottom="1" header="0.5" footer="0.5"/>
</worksheet>
</file>

<file path=xl/worksheets/sheet2.xml><?xml version="1.0" encoding="utf-8"?>
<worksheet xmlns="http://schemas.openxmlformats.org/spreadsheetml/2006/main">
  <sheetPr>
    <tabColor rgb="00808080"/>
    <outlinePr summaryBelow="1" summaryRight="1"/>
    <pageSetUpPr/>
  </sheetPr>
  <dimension ref="A1:A1"/>
  <sheetViews>
    <sheetView showGridLines="0"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79"/>
  <sheetViews>
    <sheetView showGridLines="0" workbookViewId="0">
      <selection activeCell="A1" sqref="A1"/>
    </sheetView>
  </sheetViews>
  <sheetFormatPr baseColWidth="8" defaultRowHeight="15"/>
  <cols>
    <col width="9" customWidth="1" min="1" max="1"/>
    <col width="46" customWidth="1" min="2" max="2"/>
    <col width="13" customWidth="1" min="3" max="3"/>
    <col width="13" customWidth="1" min="4" max="4"/>
    <col width="13" customWidth="1" min="5" max="5"/>
    <col width="13" customWidth="1" min="6" max="6"/>
    <col width="13" customWidth="1" min="7" max="7"/>
    <col width="9" customWidth="1" min="8" max="8"/>
    <col width="3" customWidth="1" min="9" max="9"/>
    <col width="44" customWidth="1" min="10" max="10"/>
    <col width="13" customWidth="1" min="11" max="11"/>
    <col width="13" customWidth="1" min="12" max="12"/>
    <col width="13" customWidth="1" min="13" max="13"/>
    <col width="13" customWidth="1" min="14" max="14"/>
    <col width="13" customWidth="1" min="15" max="15"/>
    <col width="13" customWidth="1" min="16" max="16"/>
  </cols>
  <sheetData>
    <row r="1">
      <c r="J1" s="65" t="n"/>
      <c r="K1" s="65" t="n"/>
      <c r="L1" s="65" t="n"/>
      <c r="M1" s="65" t="n"/>
      <c r="N1" s="65" t="n"/>
      <c r="O1" s="65" t="n"/>
      <c r="P1" s="65" t="n"/>
      <c r="Q1" s="65" t="n"/>
      <c r="R1" s="65" t="n"/>
      <c r="S1" s="65" t="n"/>
      <c r="T1" s="65" t="n"/>
      <c r="U1" s="65" t="n"/>
    </row>
    <row r="2" ht="21" customHeight="1">
      <c r="B2" s="1" t="inlineStr">
        <is>
          <t>‹Gesellschaft› – Financial Overview 2021–2025</t>
        </is>
      </c>
      <c r="C2" s="1" t="n"/>
      <c r="D2" s="1" t="n"/>
      <c r="E2" s="1" t="n"/>
      <c r="F2" s="1" t="n"/>
      <c r="G2" s="1" t="n"/>
      <c r="J2" s="66" t="inlineStr">
        <is>
          <t>think-cell-Blöcke: je Block ein Folienobjekt. Block inklusive Kopfzeile markieren und in think-cell einfügen. Alle Zellen sind Verweise.</t>
        </is>
      </c>
      <c r="K2" s="65" t="n"/>
      <c r="L2" s="65" t="n"/>
      <c r="M2" s="65" t="n"/>
      <c r="N2" s="65" t="n"/>
      <c r="O2" s="65" t="n"/>
      <c r="P2" s="65" t="n"/>
      <c r="Q2" s="65" t="n"/>
      <c r="R2" s="65" t="n"/>
      <c r="S2" s="65" t="n"/>
      <c r="T2" s="65" t="n"/>
      <c r="U2" s="65" t="n"/>
    </row>
    <row r="3">
      <c r="B3" s="4" t="inlineStr">
        <is>
          <t>Mio. EUR / % / x</t>
        </is>
      </c>
      <c r="C3" s="6">
        <f>Cover!$C$24</f>
        <v/>
      </c>
      <c r="D3" s="6">
        <f>C3+1</f>
        <v/>
      </c>
      <c r="E3" s="6">
        <f>D3+1</f>
        <v/>
      </c>
      <c r="F3" s="6">
        <f>E3+1</f>
        <v/>
      </c>
      <c r="G3" s="6">
        <f>F3+1</f>
        <v/>
      </c>
      <c r="J3" s="67" t="n"/>
      <c r="K3" s="68" t="n"/>
      <c r="L3" s="68" t="n"/>
      <c r="M3" s="68" t="n"/>
      <c r="N3" s="68" t="n"/>
      <c r="O3" s="68" t="n"/>
      <c r="P3" s="65" t="n"/>
      <c r="Q3" s="65" t="n"/>
      <c r="R3" s="65" t="n"/>
      <c r="S3" s="65" t="n"/>
      <c r="T3" s="65" t="n"/>
      <c r="U3" s="65" t="n"/>
    </row>
    <row r="4">
      <c r="B4" s="19" t="inlineStr">
        <is>
          <t>Umsatzerlöse</t>
        </is>
      </c>
      <c r="C4" s="20">
        <f>'GES KPIs'!C5</f>
        <v/>
      </c>
      <c r="D4" s="20">
        <f>'GES KPIs'!D5</f>
        <v/>
      </c>
      <c r="E4" s="20">
        <f>'GES KPIs'!E5</f>
        <v/>
      </c>
      <c r="F4" s="20">
        <f>'GES KPIs'!F5</f>
        <v/>
      </c>
      <c r="G4" s="20">
        <f>'GES KPIs'!G5</f>
        <v/>
      </c>
      <c r="J4" s="69" t="inlineStr">
        <is>
          <t>GuV-Chart (Financials Block 1)</t>
        </is>
      </c>
      <c r="K4" s="70">
        <f>$C$3</f>
        <v/>
      </c>
      <c r="L4" s="70">
        <f>$D$3</f>
        <v/>
      </c>
      <c r="M4" s="70">
        <f>$E$3</f>
        <v/>
      </c>
      <c r="N4" s="70">
        <f>$F$3</f>
        <v/>
      </c>
      <c r="O4" s="70">
        <f>$G$3</f>
        <v/>
      </c>
      <c r="P4" s="65" t="n"/>
      <c r="Q4" s="65" t="n"/>
      <c r="R4" s="65" t="n"/>
      <c r="S4" s="65" t="n"/>
      <c r="T4" s="65" t="n"/>
      <c r="U4" s="65" t="n"/>
    </row>
    <row r="5">
      <c r="B5" s="8" t="inlineStr">
        <is>
          <t>Gesamtleistung</t>
        </is>
      </c>
      <c r="C5" s="24">
        <f>'GES KPIs'!C6</f>
        <v/>
      </c>
      <c r="D5" s="24">
        <f>'GES KPIs'!D6</f>
        <v/>
      </c>
      <c r="E5" s="24">
        <f>'GES KPIs'!E6</f>
        <v/>
      </c>
      <c r="F5" s="24">
        <f>'GES KPIs'!F6</f>
        <v/>
      </c>
      <c r="G5" s="24">
        <f>'GES KPIs'!G6</f>
        <v/>
      </c>
      <c r="J5" s="67" t="inlineStr">
        <is>
          <t>Umsatzerlöse</t>
        </is>
      </c>
      <c r="K5" s="71">
        <f>C4</f>
        <v/>
      </c>
      <c r="L5" s="71">
        <f>D4</f>
        <v/>
      </c>
      <c r="M5" s="71">
        <f>E4</f>
        <v/>
      </c>
      <c r="N5" s="71">
        <f>F4</f>
        <v/>
      </c>
      <c r="O5" s="71">
        <f>G4</f>
        <v/>
      </c>
      <c r="P5" s="65" t="n"/>
      <c r="Q5" s="65" t="n"/>
      <c r="R5" s="65" t="n"/>
      <c r="S5" s="65" t="n"/>
      <c r="T5" s="65" t="n"/>
      <c r="U5" s="65" t="n"/>
    </row>
    <row r="6">
      <c r="B6" s="8" t="inlineStr">
        <is>
          <t>Rohertrag</t>
        </is>
      </c>
      <c r="C6" s="24">
        <f>'GES KPIs'!C7</f>
        <v/>
      </c>
      <c r="D6" s="24">
        <f>'GES KPIs'!D7</f>
        <v/>
      </c>
      <c r="E6" s="24">
        <f>'GES KPIs'!E7</f>
        <v/>
      </c>
      <c r="F6" s="24">
        <f>'GES KPIs'!F7</f>
        <v/>
      </c>
      <c r="G6" s="24">
        <f>'GES KPIs'!G7</f>
        <v/>
      </c>
      <c r="J6" s="67" t="inlineStr">
        <is>
          <t>Rohertrag</t>
        </is>
      </c>
      <c r="K6" s="71">
        <f>C6</f>
        <v/>
      </c>
      <c r="L6" s="71">
        <f>D6</f>
        <v/>
      </c>
      <c r="M6" s="71">
        <f>E6</f>
        <v/>
      </c>
      <c r="N6" s="71">
        <f>F6</f>
        <v/>
      </c>
      <c r="O6" s="71">
        <f>G6</f>
        <v/>
      </c>
      <c r="P6" s="65" t="n"/>
      <c r="Q6" s="65" t="n"/>
      <c r="R6" s="65" t="n"/>
      <c r="S6" s="65" t="n"/>
      <c r="T6" s="65" t="n"/>
      <c r="U6" s="65" t="n"/>
    </row>
    <row r="7">
      <c r="B7" s="8" t="inlineStr">
        <is>
          <t>Rohertragsmarge</t>
        </is>
      </c>
      <c r="C7" s="25">
        <f>'GES KPIs'!C8</f>
        <v/>
      </c>
      <c r="D7" s="25">
        <f>'GES KPIs'!D8</f>
        <v/>
      </c>
      <c r="E7" s="25">
        <f>'GES KPIs'!E8</f>
        <v/>
      </c>
      <c r="F7" s="25">
        <f>'GES KPIs'!F8</f>
        <v/>
      </c>
      <c r="G7" s="25">
        <f>'GES KPIs'!G8</f>
        <v/>
      </c>
      <c r="J7" s="67" t="inlineStr">
        <is>
          <t>EBITDA</t>
        </is>
      </c>
      <c r="K7" s="71">
        <f>C8</f>
        <v/>
      </c>
      <c r="L7" s="71">
        <f>D8</f>
        <v/>
      </c>
      <c r="M7" s="71">
        <f>E8</f>
        <v/>
      </c>
      <c r="N7" s="71">
        <f>F8</f>
        <v/>
      </c>
      <c r="O7" s="71">
        <f>G8</f>
        <v/>
      </c>
      <c r="P7" s="65" t="n"/>
      <c r="Q7" s="65" t="n"/>
      <c r="R7" s="65" t="n"/>
      <c r="S7" s="65" t="n"/>
      <c r="T7" s="65" t="n"/>
      <c r="U7" s="65" t="n"/>
    </row>
    <row r="8">
      <c r="B8" s="19" t="inlineStr">
        <is>
          <t>EBITDA (für Folie, Definition nach Einheit)</t>
        </is>
      </c>
      <c r="C8" s="20">
        <f>'GES KPIs'!C52</f>
        <v/>
      </c>
      <c r="D8" s="20">
        <f>'GES KPIs'!D52</f>
        <v/>
      </c>
      <c r="E8" s="20">
        <f>'GES KPIs'!E52</f>
        <v/>
      </c>
      <c r="F8" s="20">
        <f>'GES KPIs'!F52</f>
        <v/>
      </c>
      <c r="G8" s="20">
        <f>'GES KPIs'!G52</f>
        <v/>
      </c>
      <c r="J8" s="67" t="inlineStr">
        <is>
          <t>Rohertrag-Marge</t>
        </is>
      </c>
      <c r="K8" s="72">
        <f>C7</f>
        <v/>
      </c>
      <c r="L8" s="72">
        <f>D7</f>
        <v/>
      </c>
      <c r="M8" s="72">
        <f>E7</f>
        <v/>
      </c>
      <c r="N8" s="72">
        <f>F7</f>
        <v/>
      </c>
      <c r="O8" s="72">
        <f>G7</f>
        <v/>
      </c>
      <c r="P8" s="65" t="n"/>
      <c r="Q8" s="65" t="n"/>
      <c r="R8" s="65" t="n"/>
      <c r="S8" s="65" t="n"/>
      <c r="T8" s="65" t="n"/>
      <c r="U8" s="65" t="n"/>
    </row>
    <row r="9">
      <c r="B9" s="8" t="inlineStr">
        <is>
          <t>Betriebliches Ergebnis</t>
        </is>
      </c>
      <c r="C9" s="24">
        <f>'GES KPIs'!C11</f>
        <v/>
      </c>
      <c r="D9" s="24">
        <f>'GES KPIs'!D11</f>
        <v/>
      </c>
      <c r="E9" s="24">
        <f>'GES KPIs'!E11</f>
        <v/>
      </c>
      <c r="F9" s="24">
        <f>'GES KPIs'!F11</f>
        <v/>
      </c>
      <c r="G9" s="24">
        <f>'GES KPIs'!G11</f>
        <v/>
      </c>
      <c r="J9" s="65" t="inlineStr">
        <is>
          <t>EBITDA-Marge</t>
        </is>
      </c>
      <c r="K9" s="72">
        <f>'GES KPIs'!C53</f>
        <v/>
      </c>
      <c r="L9" s="72">
        <f>'GES KPIs'!D53</f>
        <v/>
      </c>
      <c r="M9" s="72">
        <f>'GES KPIs'!E53</f>
        <v/>
      </c>
      <c r="N9" s="72">
        <f>'GES KPIs'!F53</f>
        <v/>
      </c>
      <c r="O9" s="72">
        <f>'GES KPIs'!G53</f>
        <v/>
      </c>
      <c r="P9" s="65" t="n"/>
      <c r="Q9" s="65" t="n"/>
      <c r="R9" s="65" t="n"/>
      <c r="S9" s="65" t="n"/>
      <c r="T9" s="65" t="n"/>
      <c r="U9" s="65" t="n"/>
    </row>
    <row r="10">
      <c r="B10" s="8" t="inlineStr">
        <is>
          <t>Beteiligungsergebnis</t>
        </is>
      </c>
      <c r="C10" s="24">
        <f>'GES KPIs'!C12</f>
        <v/>
      </c>
      <c r="D10" s="24">
        <f>'GES KPIs'!D12</f>
        <v/>
      </c>
      <c r="E10" s="24">
        <f>'GES KPIs'!E12</f>
        <v/>
      </c>
      <c r="F10" s="24">
        <f>'GES KPIs'!F12</f>
        <v/>
      </c>
      <c r="G10" s="24">
        <f>'GES KPIs'!G12</f>
        <v/>
      </c>
      <c r="J10" s="67" t="inlineStr">
        <is>
          <t>CAGR Umsatzerlöse J1–J5</t>
        </is>
      </c>
      <c r="K10" s="72">
        <f>'GES KPIs'!C67</f>
        <v/>
      </c>
      <c r="L10" s="68" t="n"/>
      <c r="M10" s="68" t="n"/>
      <c r="N10" s="68" t="n"/>
      <c r="O10" s="68" t="n"/>
      <c r="P10" s="65" t="n"/>
      <c r="Q10" s="65" t="n"/>
      <c r="R10" s="65" t="n"/>
      <c r="S10" s="65" t="n"/>
      <c r="T10" s="65" t="n"/>
      <c r="U10" s="65" t="n"/>
    </row>
    <row r="11">
      <c r="B11" s="7" t="inlineStr">
        <is>
          <t>Ergebnis vor Steuern</t>
        </is>
      </c>
      <c r="C11" s="29">
        <f>'GES KPIs'!C14</f>
        <v/>
      </c>
      <c r="D11" s="29">
        <f>'GES KPIs'!D14</f>
        <v/>
      </c>
      <c r="E11" s="29">
        <f>'GES KPIs'!E14</f>
        <v/>
      </c>
      <c r="F11" s="29">
        <f>'GES KPIs'!F14</f>
        <v/>
      </c>
      <c r="G11" s="29">
        <f>'GES KPIs'!G14</f>
        <v/>
      </c>
      <c r="J11" s="67" t="n"/>
      <c r="K11" s="68" t="n"/>
      <c r="L11" s="68" t="n"/>
      <c r="M11" s="68" t="n"/>
      <c r="N11" s="68" t="n"/>
      <c r="O11" s="68" t="n"/>
      <c r="P11" s="65" t="n"/>
      <c r="Q11" s="65" t="n"/>
      <c r="R11" s="65" t="n"/>
      <c r="S11" s="65" t="n"/>
      <c r="T11" s="65" t="n"/>
      <c r="U11" s="65" t="n"/>
    </row>
    <row r="12">
      <c r="B12" s="19" t="inlineStr">
        <is>
          <t>Jahresüberschuss</t>
        </is>
      </c>
      <c r="C12" s="20">
        <f>'GES KPIs'!C15</f>
        <v/>
      </c>
      <c r="D12" s="20">
        <f>'GES KPIs'!D15</f>
        <v/>
      </c>
      <c r="E12" s="20">
        <f>'GES KPIs'!E15</f>
        <v/>
      </c>
      <c r="F12" s="20">
        <f>'GES KPIs'!F15</f>
        <v/>
      </c>
      <c r="G12" s="20">
        <f>'GES KPIs'!G15</f>
        <v/>
      </c>
      <c r="J12" s="69" t="inlineStr">
        <is>
          <t>Cashflow-Chart (Financials Block 2)</t>
        </is>
      </c>
      <c r="K12" s="70">
        <f>$C$3</f>
        <v/>
      </c>
      <c r="L12" s="70">
        <f>$D$3</f>
        <v/>
      </c>
      <c r="M12" s="70">
        <f>$E$3</f>
        <v/>
      </c>
      <c r="N12" s="70">
        <f>$F$3</f>
        <v/>
      </c>
      <c r="O12" s="70">
        <f>$G$3</f>
        <v/>
      </c>
      <c r="P12" s="65" t="n"/>
      <c r="Q12" s="65" t="n"/>
      <c r="R12" s="65" t="n"/>
      <c r="S12" s="65" t="n"/>
      <c r="T12" s="65" t="n"/>
      <c r="U12" s="65" t="n"/>
    </row>
    <row r="13">
      <c r="J13" s="67" t="inlineStr">
        <is>
          <t>Operating Cashflow</t>
        </is>
      </c>
      <c r="K13" s="71">
        <f>C15</f>
        <v/>
      </c>
      <c r="L13" s="71">
        <f>D15</f>
        <v/>
      </c>
      <c r="M13" s="71">
        <f>E15</f>
        <v/>
      </c>
      <c r="N13" s="71">
        <f>F15</f>
        <v/>
      </c>
      <c r="O13" s="71">
        <f>G15</f>
        <v/>
      </c>
      <c r="P13" s="65" t="n"/>
      <c r="Q13" s="65" t="n"/>
      <c r="R13" s="65" t="n"/>
      <c r="S13" s="65" t="n"/>
      <c r="T13" s="65" t="n"/>
      <c r="U13" s="65" t="n"/>
    </row>
    <row r="14">
      <c r="B14" s="4" t="inlineStr">
        <is>
          <t>Cashflow</t>
        </is>
      </c>
      <c r="C14" s="6">
        <f>C3</f>
        <v/>
      </c>
      <c r="D14" s="6">
        <f>D3</f>
        <v/>
      </c>
      <c r="E14" s="6">
        <f>E3</f>
        <v/>
      </c>
      <c r="F14" s="6">
        <f>F3</f>
        <v/>
      </c>
      <c r="G14" s="6">
        <f>G3</f>
        <v/>
      </c>
      <c r="J14" s="67" t="inlineStr">
        <is>
          <t>Investing Cashflow</t>
        </is>
      </c>
      <c r="K14" s="71">
        <f>C16</f>
        <v/>
      </c>
      <c r="L14" s="71">
        <f>D16</f>
        <v/>
      </c>
      <c r="M14" s="71">
        <f>E16</f>
        <v/>
      </c>
      <c r="N14" s="71">
        <f>F16</f>
        <v/>
      </c>
      <c r="O14" s="71">
        <f>G16</f>
        <v/>
      </c>
      <c r="P14" s="65" t="n"/>
      <c r="Q14" s="65" t="n"/>
      <c r="R14" s="65" t="n"/>
      <c r="S14" s="65" t="n"/>
      <c r="T14" s="65" t="n"/>
      <c r="U14" s="65" t="n"/>
    </row>
    <row r="15">
      <c r="B15" s="8" t="inlineStr">
        <is>
          <t>Operating Cash Flow</t>
        </is>
      </c>
      <c r="C15" s="24">
        <f>'GES KPIs'!C17</f>
        <v/>
      </c>
      <c r="D15" s="24">
        <f>'GES KPIs'!D17</f>
        <v/>
      </c>
      <c r="E15" s="24">
        <f>'GES KPIs'!E17</f>
        <v/>
      </c>
      <c r="F15" s="24">
        <f>'GES KPIs'!F17</f>
        <v/>
      </c>
      <c r="G15" s="24">
        <f>'GES KPIs'!G17</f>
        <v/>
      </c>
      <c r="J15" s="65" t="inlineStr">
        <is>
          <t>Financing Cashflow</t>
        </is>
      </c>
      <c r="K15" s="71">
        <f>C17</f>
        <v/>
      </c>
      <c r="L15" s="71">
        <f>D17</f>
        <v/>
      </c>
      <c r="M15" s="71">
        <f>E17</f>
        <v/>
      </c>
      <c r="N15" s="71">
        <f>F17</f>
        <v/>
      </c>
      <c r="O15" s="71">
        <f>G17</f>
        <v/>
      </c>
      <c r="P15" s="65" t="n"/>
      <c r="Q15" s="65" t="n"/>
      <c r="R15" s="65" t="n"/>
      <c r="S15" s="65" t="n"/>
      <c r="T15" s="65" t="n"/>
      <c r="U15" s="65" t="n"/>
    </row>
    <row r="16">
      <c r="B16" s="8" t="inlineStr">
        <is>
          <t>Investing Cash Flow</t>
        </is>
      </c>
      <c r="C16" s="24">
        <f>'GES KPIs'!C18</f>
        <v/>
      </c>
      <c r="D16" s="24">
        <f>'GES KPIs'!D18</f>
        <v/>
      </c>
      <c r="E16" s="24">
        <f>'GES KPIs'!E18</f>
        <v/>
      </c>
      <c r="F16" s="24">
        <f>'GES KPIs'!F18</f>
        <v/>
      </c>
      <c r="G16" s="24">
        <f>'GES KPIs'!G18</f>
        <v/>
      </c>
      <c r="J16" s="67" t="inlineStr">
        <is>
          <t>Total Cashflow</t>
        </is>
      </c>
      <c r="K16" s="71">
        <f>C18</f>
        <v/>
      </c>
      <c r="L16" s="71">
        <f>D18</f>
        <v/>
      </c>
      <c r="M16" s="71">
        <f>E18</f>
        <v/>
      </c>
      <c r="N16" s="71">
        <f>F18</f>
        <v/>
      </c>
      <c r="O16" s="71">
        <f>G18</f>
        <v/>
      </c>
      <c r="P16" s="65" t="n"/>
      <c r="Q16" s="65" t="n"/>
      <c r="R16" s="65" t="n"/>
      <c r="S16" s="65" t="n"/>
      <c r="T16" s="65" t="n"/>
      <c r="U16" s="65" t="n"/>
    </row>
    <row r="17">
      <c r="B17" s="30" t="inlineStr">
        <is>
          <t>Financing Cash Flow</t>
        </is>
      </c>
      <c r="C17" s="31">
        <f>'GES KPIs'!C19</f>
        <v/>
      </c>
      <c r="D17" s="31">
        <f>'GES KPIs'!D19</f>
        <v/>
      </c>
      <c r="E17" s="31">
        <f>'GES KPIs'!E19</f>
        <v/>
      </c>
      <c r="F17" s="31">
        <f>'GES KPIs'!F19</f>
        <v/>
      </c>
      <c r="G17" s="31">
        <f>'GES KPIs'!G19</f>
        <v/>
      </c>
      <c r="J17" s="67" t="n"/>
      <c r="K17" s="68" t="n"/>
      <c r="L17" s="68" t="n"/>
      <c r="M17" s="68" t="n"/>
      <c r="N17" s="68" t="n"/>
      <c r="O17" s="68" t="n"/>
      <c r="P17" s="65" t="n"/>
      <c r="Q17" s="65" t="n"/>
      <c r="R17" s="65" t="n"/>
      <c r="S17" s="65" t="n"/>
      <c r="T17" s="65" t="n"/>
      <c r="U17" s="65" t="n"/>
    </row>
    <row r="18">
      <c r="B18" s="7" t="inlineStr">
        <is>
          <t>Cashflow gesamt</t>
        </is>
      </c>
      <c r="C18" s="32">
        <f>SUM(C15:C17)</f>
        <v/>
      </c>
      <c r="D18" s="32">
        <f>SUM(D15:D17)</f>
        <v/>
      </c>
      <c r="E18" s="32">
        <f>SUM(E15:E17)</f>
        <v/>
      </c>
      <c r="F18" s="32">
        <f>SUM(F15:F17)</f>
        <v/>
      </c>
      <c r="G18" s="32">
        <f>SUM(G15:G17)</f>
        <v/>
      </c>
      <c r="J18" s="69" t="inlineStr">
        <is>
          <t>Bilanz-Chart (Financials Block 3)</t>
        </is>
      </c>
      <c r="K18" s="70">
        <f>$C$3</f>
        <v/>
      </c>
      <c r="L18" s="70">
        <f>$D$3</f>
        <v/>
      </c>
      <c r="M18" s="70">
        <f>$E$3</f>
        <v/>
      </c>
      <c r="N18" s="70">
        <f>$F$3</f>
        <v/>
      </c>
      <c r="O18" s="70">
        <f>$G$3</f>
        <v/>
      </c>
      <c r="P18" s="65" t="n"/>
      <c r="Q18" s="65" t="n"/>
      <c r="R18" s="65" t="n"/>
      <c r="S18" s="65" t="n"/>
      <c r="T18" s="65" t="n"/>
      <c r="U18" s="65" t="n"/>
    </row>
    <row r="19">
      <c r="J19" s="65" t="inlineStr">
        <is>
          <t>Liquide Mittel</t>
        </is>
      </c>
      <c r="K19" s="71">
        <f>C24</f>
        <v/>
      </c>
      <c r="L19" s="71">
        <f>D24</f>
        <v/>
      </c>
      <c r="M19" s="71">
        <f>E24</f>
        <v/>
      </c>
      <c r="N19" s="71">
        <f>F24</f>
        <v/>
      </c>
      <c r="O19" s="71">
        <f>G24</f>
        <v/>
      </c>
      <c r="P19" s="65" t="n"/>
      <c r="Q19" s="65" t="n"/>
      <c r="R19" s="65" t="n"/>
      <c r="S19" s="65" t="n"/>
      <c r="T19" s="65" t="n"/>
      <c r="U19" s="65" t="n"/>
    </row>
    <row r="20">
      <c r="B20" s="4" t="inlineStr">
        <is>
          <t>Vermögens- und Finanzlage</t>
        </is>
      </c>
      <c r="C20" s="6">
        <f>C3</f>
        <v/>
      </c>
      <c r="D20" s="6">
        <f>D3</f>
        <v/>
      </c>
      <c r="E20" s="6">
        <f>E3</f>
        <v/>
      </c>
      <c r="F20" s="6">
        <f>F3</f>
        <v/>
      </c>
      <c r="G20" s="6">
        <f>G3</f>
        <v/>
      </c>
      <c r="J20" s="67" t="inlineStr">
        <is>
          <t>Net Debt</t>
        </is>
      </c>
      <c r="K20" s="71">
        <f>C26</f>
        <v/>
      </c>
      <c r="L20" s="71">
        <f>D26</f>
        <v/>
      </c>
      <c r="M20" s="71">
        <f>E26</f>
        <v/>
      </c>
      <c r="N20" s="71">
        <f>F26</f>
        <v/>
      </c>
      <c r="O20" s="71">
        <f>G26</f>
        <v/>
      </c>
      <c r="P20" s="65" t="n"/>
      <c r="Q20" s="65" t="n"/>
      <c r="R20" s="65" t="n"/>
      <c r="S20" s="65" t="n"/>
      <c r="T20" s="65" t="n"/>
      <c r="U20" s="65" t="n"/>
    </row>
    <row r="21">
      <c r="B21" s="8" t="inlineStr">
        <is>
          <t>Bilanzsumme</t>
        </is>
      </c>
      <c r="C21" s="24">
        <f>'GES KPIs'!C22</f>
        <v/>
      </c>
      <c r="D21" s="24">
        <f>'GES KPIs'!D22</f>
        <v/>
      </c>
      <c r="E21" s="24">
        <f>'GES KPIs'!E22</f>
        <v/>
      </c>
      <c r="F21" s="24">
        <f>'GES KPIs'!F22</f>
        <v/>
      </c>
      <c r="G21" s="24">
        <f>'GES KPIs'!G22</f>
        <v/>
      </c>
      <c r="J21" s="67" t="inlineStr">
        <is>
          <t>Eigenkapital-Quote</t>
        </is>
      </c>
      <c r="K21" s="72">
        <f>C23</f>
        <v/>
      </c>
      <c r="L21" s="72">
        <f>D23</f>
        <v/>
      </c>
      <c r="M21" s="72">
        <f>E23</f>
        <v/>
      </c>
      <c r="N21" s="72">
        <f>F23</f>
        <v/>
      </c>
      <c r="O21" s="72">
        <f>G23</f>
        <v/>
      </c>
      <c r="P21" s="65" t="n"/>
      <c r="Q21" s="65" t="n"/>
      <c r="R21" s="65" t="n"/>
      <c r="S21" s="65" t="n"/>
      <c r="T21" s="65" t="n"/>
      <c r="U21" s="65" t="n"/>
    </row>
    <row r="22">
      <c r="B22" s="8" t="inlineStr">
        <is>
          <t>Eigenkapital</t>
        </is>
      </c>
      <c r="C22" s="24">
        <f>'GES KPIs'!C23</f>
        <v/>
      </c>
      <c r="D22" s="24">
        <f>'GES KPIs'!D23</f>
        <v/>
      </c>
      <c r="E22" s="24">
        <f>'GES KPIs'!E23</f>
        <v/>
      </c>
      <c r="F22" s="24">
        <f>'GES KPIs'!F23</f>
        <v/>
      </c>
      <c r="G22" s="24">
        <f>'GES KPIs'!G23</f>
        <v/>
      </c>
      <c r="J22" s="67" t="n"/>
      <c r="K22" s="68" t="n"/>
      <c r="L22" s="68" t="n"/>
      <c r="M22" s="68" t="n"/>
      <c r="N22" s="68" t="n"/>
      <c r="O22" s="68" t="n"/>
      <c r="P22" s="65" t="n"/>
      <c r="Q22" s="65" t="n"/>
      <c r="R22" s="65" t="n"/>
      <c r="S22" s="65" t="n"/>
      <c r="T22" s="65" t="n"/>
      <c r="U22" s="65" t="n"/>
    </row>
    <row r="23">
      <c r="B23" s="19" t="inlineStr">
        <is>
          <t>Eigenkapitalquote</t>
        </is>
      </c>
      <c r="C23" s="35">
        <f>'GES KPIs'!C24</f>
        <v/>
      </c>
      <c r="D23" s="35">
        <f>'GES KPIs'!D24</f>
        <v/>
      </c>
      <c r="E23" s="35">
        <f>'GES KPIs'!E24</f>
        <v/>
      </c>
      <c r="F23" s="35">
        <f>'GES KPIs'!F24</f>
        <v/>
      </c>
      <c r="G23" s="35">
        <f>'GES KPIs'!G24</f>
        <v/>
      </c>
      <c r="J23" s="69" t="inlineStr">
        <is>
          <t>Verschuldung (Investitionsfolie links)</t>
        </is>
      </c>
      <c r="K23" s="70">
        <f>$C$3</f>
        <v/>
      </c>
      <c r="L23" s="70">
        <f>$D$3</f>
        <v/>
      </c>
      <c r="M23" s="70">
        <f>$E$3</f>
        <v/>
      </c>
      <c r="N23" s="70">
        <f>$F$3</f>
        <v/>
      </c>
      <c r="O23" s="70">
        <f>$G$3</f>
        <v/>
      </c>
      <c r="P23" s="65" t="n"/>
      <c r="Q23" s="65" t="n"/>
      <c r="R23" s="65" t="n"/>
      <c r="S23" s="65" t="n"/>
      <c r="T23" s="65" t="n"/>
      <c r="U23" s="65" t="n"/>
    </row>
    <row r="24">
      <c r="B24" s="8" t="inlineStr">
        <is>
          <t>Kassenbestand</t>
        </is>
      </c>
      <c r="C24" s="24">
        <f>'GES KPIs'!C27</f>
        <v/>
      </c>
      <c r="D24" s="24">
        <f>'GES KPIs'!D27</f>
        <v/>
      </c>
      <c r="E24" s="24">
        <f>'GES KPIs'!E27</f>
        <v/>
      </c>
      <c r="F24" s="24">
        <f>'GES KPIs'!F27</f>
        <v/>
      </c>
      <c r="G24" s="24">
        <f>'GES KPIs'!G27</f>
        <v/>
      </c>
      <c r="J24" s="65" t="inlineStr">
        <is>
          <t>Net Debt</t>
        </is>
      </c>
      <c r="K24" s="71">
        <f>C26</f>
        <v/>
      </c>
      <c r="L24" s="71">
        <f>D26</f>
        <v/>
      </c>
      <c r="M24" s="71">
        <f>E26</f>
        <v/>
      </c>
      <c r="N24" s="71">
        <f>F26</f>
        <v/>
      </c>
      <c r="O24" s="71">
        <f>G26</f>
        <v/>
      </c>
      <c r="P24" s="65" t="n"/>
      <c r="Q24" s="65" t="n"/>
      <c r="R24" s="65" t="n"/>
      <c r="S24" s="65" t="n"/>
      <c r="T24" s="65" t="n"/>
      <c r="U24" s="65" t="n"/>
    </row>
    <row r="25">
      <c r="B25" s="8" t="inlineStr">
        <is>
          <t>Finanzverbindlichkeiten</t>
        </is>
      </c>
      <c r="C25" s="24">
        <f>'GES KPIs'!C28</f>
        <v/>
      </c>
      <c r="D25" s="24">
        <f>'GES KPIs'!D28</f>
        <v/>
      </c>
      <c r="E25" s="24">
        <f>'GES KPIs'!E28</f>
        <v/>
      </c>
      <c r="F25" s="24">
        <f>'GES KPIs'!F28</f>
        <v/>
      </c>
      <c r="G25" s="24">
        <f>'GES KPIs'!G28</f>
        <v/>
      </c>
      <c r="J25" s="67" t="inlineStr">
        <is>
          <t>Net Debt / EBITDA</t>
        </is>
      </c>
      <c r="K25" s="73">
        <f>C27</f>
        <v/>
      </c>
      <c r="L25" s="73">
        <f>D27</f>
        <v/>
      </c>
      <c r="M25" s="73">
        <f>E27</f>
        <v/>
      </c>
      <c r="N25" s="73">
        <f>F27</f>
        <v/>
      </c>
      <c r="O25" s="73">
        <f>G27</f>
        <v/>
      </c>
      <c r="P25" s="65" t="n"/>
      <c r="Q25" s="65" t="n"/>
      <c r="R25" s="65" t="n"/>
      <c r="S25" s="65" t="n"/>
      <c r="T25" s="65" t="n"/>
      <c r="U25" s="65" t="n"/>
    </row>
    <row r="26">
      <c r="B26" s="7" t="inlineStr">
        <is>
          <t>Net Debt (für Folie, Stufe lt. KPI-Blatt)</t>
        </is>
      </c>
      <c r="C26" s="29">
        <f>'GES KPIs'!C64</f>
        <v/>
      </c>
      <c r="D26" s="29">
        <f>'GES KPIs'!D64</f>
        <v/>
      </c>
      <c r="E26" s="29">
        <f>'GES KPIs'!E64</f>
        <v/>
      </c>
      <c r="F26" s="29">
        <f>'GES KPIs'!F64</f>
        <v/>
      </c>
      <c r="G26" s="29">
        <f>'GES KPIs'!G64</f>
        <v/>
      </c>
      <c r="J26" s="67" t="n"/>
      <c r="K26" s="68" t="n"/>
      <c r="L26" s="68" t="n"/>
      <c r="M26" s="68" t="n"/>
      <c r="N26" s="68" t="n"/>
      <c r="O26" s="68" t="n"/>
      <c r="P26" s="65" t="n"/>
      <c r="Q26" s="65" t="n"/>
      <c r="R26" s="65" t="n"/>
      <c r="S26" s="65" t="n"/>
      <c r="T26" s="65" t="n"/>
      <c r="U26" s="65" t="n"/>
    </row>
    <row r="27">
      <c r="B27" s="19" t="inlineStr">
        <is>
          <t>Net Debt / EBITDA</t>
        </is>
      </c>
      <c r="C27" s="38">
        <f>'GES KPIs'!C65</f>
        <v/>
      </c>
      <c r="D27" s="38">
        <f>'GES KPIs'!D65</f>
        <v/>
      </c>
      <c r="E27" s="38">
        <f>'GES KPIs'!E65</f>
        <v/>
      </c>
      <c r="F27" s="38">
        <f>'GES KPIs'!F65</f>
        <v/>
      </c>
      <c r="G27" s="38">
        <f>'GES KPIs'!G65</f>
        <v/>
      </c>
      <c r="J27" s="69" t="inlineStr">
        <is>
          <t>Kacheln (Kunden und Netz, native Textfelder)</t>
        </is>
      </c>
      <c r="K27" s="70">
        <f>$G$3</f>
        <v/>
      </c>
      <c r="L27" s="70">
        <f>$F$3</f>
        <v/>
      </c>
      <c r="M27" s="68" t="n"/>
      <c r="N27" s="68" t="n"/>
      <c r="O27" s="68" t="n"/>
      <c r="P27" s="65" t="n"/>
      <c r="Q27" s="65" t="n"/>
      <c r="R27" s="65" t="n"/>
      <c r="S27" s="65" t="n"/>
      <c r="T27" s="65" t="n"/>
      <c r="U27" s="65" t="n"/>
    </row>
    <row r="28">
      <c r="B28" s="19" t="inlineStr">
        <is>
          <t>Capex (Gesamtinvestitionen)</t>
        </is>
      </c>
      <c r="C28" s="20">
        <f>'GES KPIs'!C32</f>
        <v/>
      </c>
      <c r="D28" s="20">
        <f>'GES KPIs'!D32</f>
        <v/>
      </c>
      <c r="E28" s="20">
        <f>'GES KPIs'!E32</f>
        <v/>
      </c>
      <c r="F28" s="20">
        <f>'GES KPIs'!F32</f>
        <v/>
      </c>
      <c r="G28" s="20">
        <f>'GES KPIs'!G32</f>
        <v/>
      </c>
      <c r="J28" s="65" t="inlineStr">
        <is>
          <t>Stromkunden / Stromabsatz</t>
        </is>
      </c>
      <c r="K28" s="74">
        <f>'GES KPIs'!G70</f>
        <v/>
      </c>
      <c r="L28" s="74">
        <f>'GES KPIs'!F70</f>
        <v/>
      </c>
      <c r="M28" s="65" t="n"/>
      <c r="N28" s="65" t="n"/>
      <c r="O28" s="65" t="n"/>
      <c r="P28" s="65" t="n"/>
      <c r="Q28" s="65" t="n"/>
      <c r="R28" s="65" t="n"/>
      <c r="S28" s="65" t="n"/>
      <c r="T28" s="65" t="n"/>
      <c r="U28" s="65" t="n"/>
    </row>
    <row r="29">
      <c r="J29" s="67" t="inlineStr">
        <is>
          <t>Gaskunden / Gasabsatz</t>
        </is>
      </c>
      <c r="K29" s="74">
        <f>'GES KPIs'!G71</f>
        <v/>
      </c>
      <c r="L29" s="74">
        <f>'GES KPIs'!F71</f>
        <v/>
      </c>
      <c r="M29" s="65" t="n"/>
      <c r="N29" s="65" t="n"/>
      <c r="O29" s="65" t="n"/>
      <c r="P29" s="65" t="n"/>
      <c r="Q29" s="65" t="n"/>
      <c r="R29" s="65" t="n"/>
      <c r="S29" s="65" t="n"/>
      <c r="T29" s="65" t="n"/>
      <c r="U29" s="65" t="n"/>
    </row>
    <row r="30">
      <c r="B30" s="4" t="inlineStr">
        <is>
          <t>Umsatzaufteilung</t>
        </is>
      </c>
      <c r="C30" s="6">
        <f>C3</f>
        <v/>
      </c>
      <c r="D30" s="6">
        <f>D3</f>
        <v/>
      </c>
      <c r="E30" s="6">
        <f>E3</f>
        <v/>
      </c>
      <c r="F30" s="6">
        <f>F3</f>
        <v/>
      </c>
      <c r="G30" s="6">
        <f>G3</f>
        <v/>
      </c>
      <c r="J30" s="67" t="inlineStr">
        <is>
          <t>Stromnetz km</t>
        </is>
      </c>
      <c r="K30" s="74">
        <f>'GES KPIs'!G72</f>
        <v/>
      </c>
      <c r="L30" s="74">
        <f>'GES KPIs'!F72</f>
        <v/>
      </c>
      <c r="M30" s="65" t="n"/>
      <c r="N30" s="65" t="n"/>
      <c r="O30" s="65" t="n"/>
      <c r="P30" s="65" t="n"/>
      <c r="Q30" s="65" t="n"/>
      <c r="R30" s="65" t="n"/>
      <c r="S30" s="65" t="n"/>
      <c r="T30" s="65" t="n"/>
      <c r="U30" s="65" t="n"/>
    </row>
    <row r="31">
      <c r="B31" s="8" t="inlineStr">
        <is>
          <t>Stromversorgung (inkl. Handelsgeschäfte)</t>
        </is>
      </c>
      <c r="C31" s="24">
        <f>'GES Capex Revenue'!C24</f>
        <v/>
      </c>
      <c r="D31" s="24">
        <f>'GES Capex Revenue'!D24</f>
        <v/>
      </c>
      <c r="E31" s="24">
        <f>'GES Capex Revenue'!E24</f>
        <v/>
      </c>
      <c r="F31" s="24">
        <f>'GES Capex Revenue'!F24</f>
        <v/>
      </c>
      <c r="G31" s="24">
        <f>'GES Capex Revenue'!G24</f>
        <v/>
      </c>
      <c r="J31" s="67" t="inlineStr">
        <is>
          <t>Gasnetz km</t>
        </is>
      </c>
      <c r="K31" s="74">
        <f>'GES KPIs'!G73</f>
        <v/>
      </c>
      <c r="L31" s="74">
        <f>'GES KPIs'!F73</f>
        <v/>
      </c>
      <c r="M31" s="65" t="n"/>
      <c r="N31" s="65" t="n"/>
      <c r="O31" s="65" t="n"/>
      <c r="P31" s="65" t="n"/>
      <c r="Q31" s="65" t="n"/>
      <c r="R31" s="65" t="n"/>
      <c r="S31" s="65" t="n"/>
      <c r="T31" s="65" t="n"/>
      <c r="U31" s="65" t="n"/>
    </row>
    <row r="32">
      <c r="B32" s="8" t="inlineStr">
        <is>
          <t>Gasversorgung (inkl. Handelsgeschäfte)</t>
        </is>
      </c>
      <c r="C32" s="24">
        <f>'GES Capex Revenue'!C25</f>
        <v/>
      </c>
      <c r="D32" s="24">
        <f>'GES Capex Revenue'!D25</f>
        <v/>
      </c>
      <c r="E32" s="24">
        <f>'GES Capex Revenue'!E25</f>
        <v/>
      </c>
      <c r="F32" s="24">
        <f>'GES Capex Revenue'!F25</f>
        <v/>
      </c>
      <c r="G32" s="24">
        <f>'GES Capex Revenue'!G25</f>
        <v/>
      </c>
      <c r="J32" s="67" t="inlineStr">
        <is>
          <t>Umsatz (Mio. EUR)</t>
        </is>
      </c>
      <c r="K32" s="74">
        <f>G4</f>
        <v/>
      </c>
      <c r="L32" s="74">
        <f>F4</f>
        <v/>
      </c>
      <c r="M32" s="65" t="n"/>
      <c r="N32" s="65" t="n"/>
      <c r="O32" s="65" t="n"/>
      <c r="P32" s="65" t="n"/>
      <c r="Q32" s="65" t="n"/>
      <c r="R32" s="65" t="n"/>
      <c r="S32" s="65" t="n"/>
      <c r="T32" s="65" t="n"/>
      <c r="U32" s="65" t="n"/>
    </row>
    <row r="33">
      <c r="B33" s="8" t="inlineStr">
        <is>
          <t>Wärmeversorgung</t>
        </is>
      </c>
      <c r="C33" s="24">
        <f>'GES Capex Revenue'!C26</f>
        <v/>
      </c>
      <c r="D33" s="24">
        <f>'GES Capex Revenue'!D26</f>
        <v/>
      </c>
      <c r="E33" s="24">
        <f>'GES Capex Revenue'!E26</f>
        <v/>
      </c>
      <c r="F33" s="24">
        <f>'GES Capex Revenue'!F26</f>
        <v/>
      </c>
      <c r="G33" s="24">
        <f>'GES Capex Revenue'!G26</f>
        <v/>
      </c>
      <c r="J33" s="67" t="inlineStr">
        <is>
          <t>EBITDA (Mio. EUR)</t>
        </is>
      </c>
      <c r="K33" s="74">
        <f>G8</f>
        <v/>
      </c>
      <c r="L33" s="74">
        <f>F8</f>
        <v/>
      </c>
      <c r="M33" s="65" t="n"/>
      <c r="N33" s="65" t="n"/>
      <c r="O33" s="65" t="n"/>
      <c r="P33" s="65" t="n"/>
      <c r="Q33" s="65" t="n"/>
      <c r="R33" s="65" t="n"/>
      <c r="S33" s="65" t="n"/>
      <c r="T33" s="65" t="n"/>
      <c r="U33" s="65" t="n"/>
    </row>
    <row r="34">
      <c r="B34" s="8" t="inlineStr">
        <is>
          <t>Betriebsführung Wasserversorgung</t>
        </is>
      </c>
      <c r="C34" s="24">
        <f>'GES Capex Revenue'!C27</f>
        <v/>
      </c>
      <c r="D34" s="24">
        <f>'GES Capex Revenue'!D27</f>
        <v/>
      </c>
      <c r="E34" s="24">
        <f>'GES Capex Revenue'!E27</f>
        <v/>
      </c>
      <c r="F34" s="24">
        <f>'GES Capex Revenue'!F27</f>
        <v/>
      </c>
      <c r="G34" s="24">
        <f>'GES Capex Revenue'!G27</f>
        <v/>
      </c>
      <c r="J34" s="67" t="inlineStr">
        <is>
          <t>EBIT (Mio. EUR)</t>
        </is>
      </c>
      <c r="K34" s="74">
        <f>'GES KPIs'!G51</f>
        <v/>
      </c>
      <c r="L34" s="74">
        <f>'GES KPIs'!F51</f>
        <v/>
      </c>
      <c r="M34" s="65" t="n"/>
      <c r="N34" s="65" t="n"/>
      <c r="O34" s="65" t="n"/>
      <c r="P34" s="65" t="n"/>
      <c r="Q34" s="65" t="n"/>
      <c r="R34" s="65" t="n"/>
      <c r="S34" s="65" t="n"/>
      <c r="T34" s="65" t="n"/>
      <c r="U34" s="65" t="n"/>
    </row>
    <row r="35">
      <c r="B35" s="8" t="inlineStr">
        <is>
          <t>Wasserverkauf an ‹Eigenbetrieb›</t>
        </is>
      </c>
      <c r="C35" s="24">
        <f>'GES Capex Revenue'!C28</f>
        <v/>
      </c>
      <c r="D35" s="24">
        <f>'GES Capex Revenue'!D28</f>
        <v/>
      </c>
      <c r="E35" s="24">
        <f>'GES Capex Revenue'!E28</f>
        <v/>
      </c>
      <c r="F35" s="24">
        <f>'GES Capex Revenue'!F28</f>
        <v/>
      </c>
      <c r="G35" s="24">
        <f>'GES Capex Revenue'!G28</f>
        <v/>
      </c>
      <c r="J35" s="67" t="inlineStr">
        <is>
          <t>EAT (Mio. EUR)</t>
        </is>
      </c>
      <c r="K35" s="74">
        <f>'GES KPIs'!G54</f>
        <v/>
      </c>
      <c r="L35" s="74">
        <f>'GES KPIs'!F54</f>
        <v/>
      </c>
      <c r="M35" s="65" t="n"/>
      <c r="N35" s="65" t="n"/>
      <c r="O35" s="65" t="n"/>
      <c r="P35" s="65" t="n"/>
      <c r="Q35" s="65" t="n"/>
      <c r="R35" s="65" t="n"/>
      <c r="S35" s="65" t="n"/>
      <c r="T35" s="65" t="n"/>
      <c r="U35" s="65" t="n"/>
    </row>
    <row r="36">
      <c r="B36" s="8" t="inlineStr">
        <is>
          <t>Konzerninterne Dienstleistungen</t>
        </is>
      </c>
      <c r="C36" s="24">
        <f>'GES Capex Revenue'!C29</f>
        <v/>
      </c>
      <c r="D36" s="24">
        <f>'GES Capex Revenue'!D29</f>
        <v/>
      </c>
      <c r="E36" s="24">
        <f>'GES Capex Revenue'!E29</f>
        <v/>
      </c>
      <c r="F36" s="24">
        <f>'GES Capex Revenue'!F29</f>
        <v/>
      </c>
      <c r="G36" s="24">
        <f>'GES Capex Revenue'!G29</f>
        <v/>
      </c>
      <c r="J36" s="67" t="inlineStr">
        <is>
          <t>CapEx (Mio. EUR)</t>
        </is>
      </c>
      <c r="K36" s="74">
        <f>G28</f>
        <v/>
      </c>
      <c r="L36" s="74">
        <f>F28</f>
        <v/>
      </c>
      <c r="M36" s="65" t="n"/>
      <c r="N36" s="65" t="n"/>
      <c r="O36" s="65" t="n"/>
      <c r="P36" s="65" t="n"/>
      <c r="Q36" s="65" t="n"/>
      <c r="R36" s="65" t="n"/>
      <c r="S36" s="65" t="n"/>
      <c r="T36" s="65" t="n"/>
      <c r="U36" s="65" t="n"/>
    </row>
    <row r="37">
      <c r="B37" s="8" t="inlineStr">
        <is>
          <t>Übrige Umsatzerlöse</t>
        </is>
      </c>
      <c r="C37" s="24">
        <f>'GES Capex Revenue'!C30</f>
        <v/>
      </c>
      <c r="D37" s="24">
        <f>'GES Capex Revenue'!D30</f>
        <v/>
      </c>
      <c r="E37" s="24">
        <f>'GES Capex Revenue'!E30</f>
        <v/>
      </c>
      <c r="F37" s="24">
        <f>'GES Capex Revenue'!F30</f>
        <v/>
      </c>
      <c r="G37" s="24">
        <f>'GES Capex Revenue'!G30</f>
        <v/>
      </c>
      <c r="J37" s="65" t="inlineStr">
        <is>
          <t>Mitarbeiter</t>
        </is>
      </c>
      <c r="K37" s="74">
        <f>'GES KPIs'!G74</f>
        <v/>
      </c>
      <c r="L37" s="74">
        <f>'GES KPIs'!F74</f>
        <v/>
      </c>
      <c r="M37" s="65" t="n"/>
      <c r="N37" s="65" t="n"/>
      <c r="O37" s="65" t="n"/>
      <c r="P37" s="65" t="n"/>
      <c r="Q37" s="65" t="n"/>
      <c r="R37" s="65" t="n"/>
      <c r="S37" s="65" t="n"/>
      <c r="T37" s="65" t="n"/>
      <c r="U37" s="65" t="n"/>
    </row>
    <row r="38">
      <c r="B38" s="39" t="inlineStr">
        <is>
          <t>Umsätze lt. GuV</t>
        </is>
      </c>
      <c r="C38" s="40">
        <f>SUM(C31:C37)</f>
        <v/>
      </c>
      <c r="D38" s="40">
        <f>SUM(D31:D37)</f>
        <v/>
      </c>
      <c r="E38" s="40">
        <f>SUM(E31:E37)</f>
        <v/>
      </c>
      <c r="F38" s="40">
        <f>SUM(F31:F37)</f>
        <v/>
      </c>
      <c r="G38" s="40">
        <f>SUM(G31:G37)</f>
        <v/>
      </c>
      <c r="J38" s="67" t="n"/>
      <c r="K38" s="68" t="n"/>
      <c r="L38" s="65" t="n"/>
      <c r="M38" s="65" t="n"/>
      <c r="N38" s="65" t="n"/>
      <c r="O38" s="65" t="n"/>
      <c r="P38" s="65" t="n"/>
      <c r="Q38" s="65" t="n"/>
      <c r="R38" s="65" t="n"/>
      <c r="S38" s="65" t="n"/>
      <c r="T38" s="65" t="n"/>
      <c r="U38" s="65" t="n"/>
    </row>
    <row r="39">
      <c r="J39" s="69" t="inlineStr">
        <is>
          <t>Umsatzring (Kunden und Netz, think-cell)</t>
        </is>
      </c>
      <c r="K39" s="70">
        <f>$G$3</f>
        <v/>
      </c>
      <c r="L39" s="70" t="inlineStr">
        <is>
          <t>Anteil</t>
        </is>
      </c>
      <c r="M39" s="65" t="n"/>
      <c r="N39" s="65" t="n"/>
      <c r="O39" s="65" t="n"/>
      <c r="P39" s="65" t="n"/>
      <c r="Q39" s="65" t="n"/>
      <c r="R39" s="65" t="n"/>
      <c r="S39" s="65" t="n"/>
      <c r="T39" s="65" t="n"/>
      <c r="U39" s="65" t="n"/>
    </row>
    <row r="40">
      <c r="B40" s="8" t="inlineStr">
        <is>
          <t>Anteil Strom / Gas am Umsatz</t>
        </is>
      </c>
      <c r="C40" s="41">
        <f>IFERROR((C31+C32)/C38,0)</f>
        <v/>
      </c>
      <c r="D40" s="41">
        <f>IFERROR((D31+D32)/D38,0)</f>
        <v/>
      </c>
      <c r="E40" s="41">
        <f>IFERROR((E31+E32)/E38,0)</f>
        <v/>
      </c>
      <c r="F40" s="41">
        <f>IFERROR((F31+F32)/F38,0)</f>
        <v/>
      </c>
      <c r="G40" s="41">
        <f>IFERROR((G31+G32)/G38,0)</f>
        <v/>
      </c>
      <c r="J40" s="67">
        <f>'GES Capex Revenue'!B24</f>
        <v/>
      </c>
      <c r="K40" s="71">
        <f>'GES Capex Revenue'!G24</f>
        <v/>
      </c>
      <c r="L40" s="72">
        <f>'GES Capex Revenue'!G36</f>
        <v/>
      </c>
      <c r="M40" s="65" t="n"/>
      <c r="N40" s="65" t="n"/>
      <c r="O40" s="65" t="n"/>
      <c r="P40" s="65" t="n"/>
      <c r="Q40" s="65" t="n"/>
      <c r="R40" s="65" t="n"/>
      <c r="S40" s="65" t="n"/>
      <c r="T40" s="65" t="n"/>
      <c r="U40" s="65" t="n"/>
    </row>
    <row r="41">
      <c r="J41" s="67">
        <f>'GES Capex Revenue'!B25</f>
        <v/>
      </c>
      <c r="K41" s="71">
        <f>'GES Capex Revenue'!G25</f>
        <v/>
      </c>
      <c r="L41" s="72">
        <f>'GES Capex Revenue'!G37</f>
        <v/>
      </c>
      <c r="M41" s="65" t="n"/>
      <c r="N41" s="65" t="n"/>
      <c r="O41" s="65" t="n"/>
      <c r="P41" s="65" t="n"/>
      <c r="Q41" s="65" t="n"/>
      <c r="R41" s="65" t="n"/>
      <c r="S41" s="65" t="n"/>
      <c r="T41" s="65" t="n"/>
      <c r="U41" s="65" t="n"/>
    </row>
    <row r="42">
      <c r="B42" s="14" t="inlineStr">
        <is>
          <t>Methodik: EBIT/EBITDA und Net Debt folgen den Schaltern auf dem KPI-Blatt (Zeilen 45 und 57). Die Definition steht auf der Folie in der Fußnote, wortgleich mit dem Blatt Quellen &amp; Hinweise.</t>
        </is>
      </c>
      <c r="J42" s="67">
        <f>'GES Capex Revenue'!B26</f>
        <v/>
      </c>
      <c r="K42" s="71">
        <f>'GES Capex Revenue'!G26</f>
        <v/>
      </c>
      <c r="L42" s="72">
        <f>'GES Capex Revenue'!G38</f>
        <v/>
      </c>
      <c r="M42" s="65" t="n"/>
      <c r="N42" s="65" t="n"/>
      <c r="O42" s="65" t="n"/>
      <c r="P42" s="65" t="n"/>
      <c r="Q42" s="65" t="n"/>
      <c r="R42" s="65" t="n"/>
      <c r="S42" s="65" t="n"/>
      <c r="T42" s="65" t="n"/>
      <c r="U42" s="65" t="n"/>
    </row>
    <row r="43">
      <c r="J43" s="67">
        <f>'GES Capex Revenue'!B27</f>
        <v/>
      </c>
      <c r="K43" s="71">
        <f>'GES Capex Revenue'!G27</f>
        <v/>
      </c>
      <c r="L43" s="72">
        <f>'GES Capex Revenue'!G39</f>
        <v/>
      </c>
      <c r="M43" s="65" t="n"/>
      <c r="N43" s="65" t="n"/>
      <c r="O43" s="65" t="n"/>
      <c r="P43" s="65" t="n"/>
      <c r="Q43" s="65" t="n"/>
      <c r="R43" s="65" t="n"/>
      <c r="S43" s="65" t="n"/>
      <c r="T43" s="65" t="n"/>
      <c r="U43" s="65" t="n"/>
    </row>
    <row r="44">
      <c r="J44" s="67">
        <f>'GES Capex Revenue'!B28</f>
        <v/>
      </c>
      <c r="K44" s="71">
        <f>'GES Capex Revenue'!G28</f>
        <v/>
      </c>
      <c r="L44" s="72">
        <f>'GES Capex Revenue'!G40</f>
        <v/>
      </c>
      <c r="M44" s="65" t="n"/>
      <c r="N44" s="65" t="n"/>
      <c r="O44" s="65" t="n"/>
      <c r="P44" s="65" t="n"/>
      <c r="Q44" s="65" t="n"/>
      <c r="R44" s="65" t="n"/>
      <c r="S44" s="65" t="n"/>
      <c r="T44" s="65" t="n"/>
      <c r="U44" s="65" t="n"/>
    </row>
    <row r="45">
      <c r="B45" s="14" t="inlineStr">
        <is>
          <t>Die Umsatzaufteilung folgt der im Lagebericht / Anhang veröffentlichten Aufteilung nach Bereichen.</t>
        </is>
      </c>
      <c r="J45" s="67">
        <f>'GES Capex Revenue'!B29</f>
        <v/>
      </c>
      <c r="K45" s="71">
        <f>'GES Capex Revenue'!G29</f>
        <v/>
      </c>
      <c r="L45" s="72">
        <f>'GES Capex Revenue'!G41</f>
        <v/>
      </c>
      <c r="M45" s="65" t="n"/>
      <c r="N45" s="65" t="n"/>
      <c r="O45" s="65" t="n"/>
      <c r="P45" s="65" t="n"/>
      <c r="Q45" s="65" t="n"/>
      <c r="R45" s="65" t="n"/>
      <c r="S45" s="65" t="n"/>
      <c r="T45" s="65" t="n"/>
      <c r="U45" s="65" t="n"/>
    </row>
    <row r="46">
      <c r="J46" s="65">
        <f>'GES Capex Revenue'!B30</f>
        <v/>
      </c>
      <c r="K46" s="71">
        <f>'GES Capex Revenue'!G30</f>
        <v/>
      </c>
      <c r="L46" s="72">
        <f>'GES Capex Revenue'!G42</f>
        <v/>
      </c>
      <c r="M46" s="65" t="n"/>
      <c r="N46" s="65" t="n"/>
      <c r="O46" s="65" t="n"/>
      <c r="P46" s="65" t="n"/>
      <c r="Q46" s="65" t="n"/>
      <c r="R46" s="65" t="n"/>
      <c r="S46" s="65" t="n"/>
      <c r="T46" s="65" t="n"/>
      <c r="U46" s="65" t="n"/>
    </row>
    <row r="47">
      <c r="J47" s="67" t="inlineStr">
        <is>
          <t>Summe (100 % ≙)</t>
        </is>
      </c>
      <c r="K47" s="71">
        <f>'GES Capex Revenue'!G31</f>
        <v/>
      </c>
      <c r="L47" s="72">
        <f>'GES Capex Revenue'!G43</f>
        <v/>
      </c>
      <c r="M47" s="68" t="n"/>
      <c r="N47" s="68" t="n"/>
      <c r="O47" s="68" t="n"/>
      <c r="P47" s="65" t="n"/>
      <c r="Q47" s="65" t="n"/>
      <c r="R47" s="65" t="n"/>
      <c r="S47" s="65" t="n"/>
      <c r="T47" s="65" t="n"/>
      <c r="U47" s="65" t="n"/>
    </row>
    <row r="48">
      <c r="J48" s="67" t="n"/>
      <c r="K48" s="68" t="n"/>
      <c r="L48" s="68" t="n"/>
      <c r="M48" s="68" t="n"/>
      <c r="N48" s="68" t="n"/>
      <c r="O48" s="68" t="n"/>
      <c r="P48" s="65" t="n"/>
      <c r="Q48" s="65" t="n"/>
      <c r="R48" s="65" t="n"/>
      <c r="S48" s="65" t="n"/>
      <c r="T48" s="65" t="n"/>
      <c r="U48" s="65" t="n"/>
    </row>
    <row r="49">
      <c r="J49" s="69" t="inlineStr">
        <is>
          <t>Investitionstabelle (Investitionsfolie rechts)</t>
        </is>
      </c>
      <c r="K49" s="70">
        <f>$G$3</f>
        <v/>
      </c>
      <c r="L49" s="70">
        <f>$F$3</f>
        <v/>
      </c>
      <c r="M49" s="68" t="n"/>
      <c r="N49" s="68" t="n"/>
      <c r="O49" s="68" t="n"/>
      <c r="P49" s="65" t="n"/>
      <c r="Q49" s="65" t="n"/>
      <c r="R49" s="65" t="n"/>
      <c r="S49" s="65" t="n"/>
      <c r="T49" s="65" t="n"/>
      <c r="U49" s="65" t="n"/>
    </row>
    <row r="50">
      <c r="J50" s="67">
        <f>'GES Capex Revenue'!B6</f>
        <v/>
      </c>
      <c r="K50" s="71">
        <f>'GES Capex Revenue'!G6</f>
        <v/>
      </c>
      <c r="L50" s="71">
        <f>'GES Capex Revenue'!F6</f>
        <v/>
      </c>
      <c r="M50" s="68" t="n"/>
      <c r="N50" s="68" t="n"/>
      <c r="O50" s="68" t="n"/>
      <c r="P50" s="65" t="n"/>
      <c r="Q50" s="65" t="n"/>
      <c r="R50" s="65" t="n"/>
      <c r="S50" s="65" t="n"/>
      <c r="T50" s="65" t="n"/>
      <c r="U50" s="65" t="n"/>
    </row>
    <row r="51">
      <c r="J51" s="67">
        <f>'GES Capex Revenue'!B7</f>
        <v/>
      </c>
      <c r="K51" s="71">
        <f>'GES Capex Revenue'!G7</f>
        <v/>
      </c>
      <c r="L51" s="71">
        <f>'GES Capex Revenue'!F7</f>
        <v/>
      </c>
      <c r="M51" s="68" t="n"/>
      <c r="N51" s="68" t="n"/>
      <c r="O51" s="68" t="n"/>
      <c r="P51" s="65" t="n"/>
      <c r="Q51" s="65" t="n"/>
      <c r="R51" s="65" t="n"/>
      <c r="S51" s="65" t="n"/>
      <c r="T51" s="65" t="n"/>
      <c r="U51" s="65" t="n"/>
    </row>
    <row r="52">
      <c r="J52" s="65">
        <f>'GES Capex Revenue'!B8</f>
        <v/>
      </c>
      <c r="K52" s="71">
        <f>'GES Capex Revenue'!G8</f>
        <v/>
      </c>
      <c r="L52" s="71">
        <f>'GES Capex Revenue'!F8</f>
        <v/>
      </c>
      <c r="M52" s="65" t="n"/>
      <c r="N52" s="65" t="n"/>
      <c r="O52" s="65" t="n"/>
      <c r="P52" s="65" t="n"/>
      <c r="Q52" s="65" t="n"/>
      <c r="R52" s="65" t="n"/>
      <c r="S52" s="65" t="n"/>
      <c r="T52" s="65" t="n"/>
      <c r="U52" s="65" t="n"/>
    </row>
    <row r="53">
      <c r="J53" s="75">
        <f>'GES Capex Revenue'!B9</f>
        <v/>
      </c>
      <c r="K53" s="71">
        <f>'GES Capex Revenue'!G9</f>
        <v/>
      </c>
      <c r="L53" s="71">
        <f>'GES Capex Revenue'!F9</f>
        <v/>
      </c>
      <c r="M53" s="65" t="n"/>
      <c r="N53" s="65" t="n"/>
      <c r="O53" s="65" t="n"/>
      <c r="P53" s="65" t="n"/>
      <c r="Q53" s="65" t="n"/>
      <c r="R53" s="65" t="n"/>
      <c r="S53" s="65" t="n"/>
      <c r="T53" s="65" t="n"/>
      <c r="U53" s="65" t="n"/>
    </row>
    <row r="54">
      <c r="J54" s="65">
        <f>'GES Capex Revenue'!B10</f>
        <v/>
      </c>
      <c r="K54" s="71">
        <f>'GES Capex Revenue'!G10</f>
        <v/>
      </c>
      <c r="L54" s="71">
        <f>'GES Capex Revenue'!F10</f>
        <v/>
      </c>
      <c r="M54" s="65" t="n"/>
      <c r="N54" s="65" t="n"/>
      <c r="O54" s="65" t="n"/>
      <c r="P54" s="65" t="n"/>
      <c r="Q54" s="65" t="n"/>
      <c r="R54" s="65" t="n"/>
      <c r="S54" s="65" t="n"/>
      <c r="T54" s="65" t="n"/>
      <c r="U54" s="65" t="n"/>
    </row>
    <row r="55">
      <c r="J55" s="65">
        <f>'GES Capex Revenue'!B11</f>
        <v/>
      </c>
      <c r="K55" s="71">
        <f>'GES Capex Revenue'!G11</f>
        <v/>
      </c>
      <c r="L55" s="71">
        <f>'GES Capex Revenue'!F11</f>
        <v/>
      </c>
      <c r="M55" s="65" t="n"/>
      <c r="N55" s="65" t="n"/>
      <c r="O55" s="65" t="n"/>
      <c r="P55" s="65" t="n"/>
      <c r="Q55" s="65" t="n"/>
      <c r="R55" s="65" t="n"/>
      <c r="S55" s="65" t="n"/>
      <c r="T55" s="65" t="n"/>
      <c r="U55" s="65" t="n"/>
    </row>
    <row r="56">
      <c r="J56" s="65">
        <f>'GES Capex Revenue'!B12</f>
        <v/>
      </c>
      <c r="K56" s="71">
        <f>'GES Capex Revenue'!G12</f>
        <v/>
      </c>
      <c r="L56" s="71">
        <f>'GES Capex Revenue'!F12</f>
        <v/>
      </c>
      <c r="M56" s="65" t="n"/>
      <c r="N56" s="65" t="n"/>
      <c r="O56" s="65" t="n"/>
      <c r="P56" s="65" t="n"/>
      <c r="Q56" s="65" t="n"/>
      <c r="R56" s="65" t="n"/>
      <c r="S56" s="65" t="n"/>
      <c r="T56" s="65" t="n"/>
      <c r="U56" s="65" t="n"/>
    </row>
    <row r="57">
      <c r="J57" s="65">
        <f>'GES Capex Revenue'!B13</f>
        <v/>
      </c>
      <c r="K57" s="71">
        <f>'GES Capex Revenue'!G13</f>
        <v/>
      </c>
      <c r="L57" s="71">
        <f>'GES Capex Revenue'!F13</f>
        <v/>
      </c>
      <c r="M57" s="65" t="n"/>
      <c r="N57" s="65" t="n"/>
      <c r="O57" s="65" t="n"/>
      <c r="P57" s="65" t="n"/>
      <c r="Q57" s="65" t="n"/>
      <c r="R57" s="65" t="n"/>
      <c r="S57" s="65" t="n"/>
      <c r="T57" s="65" t="n"/>
      <c r="U57" s="65" t="n"/>
    </row>
    <row r="58">
      <c r="J58" s="65" t="inlineStr">
        <is>
          <t>Gesamtinvestitionen</t>
        </is>
      </c>
      <c r="K58" s="71">
        <f>'GES Capex Revenue'!G14</f>
        <v/>
      </c>
      <c r="L58" s="71">
        <f>'GES Capex Revenue'!F14</f>
        <v/>
      </c>
      <c r="M58" s="65" t="n"/>
      <c r="N58" s="65" t="n"/>
      <c r="O58" s="65" t="n"/>
      <c r="P58" s="65" t="n"/>
      <c r="Q58" s="65" t="n"/>
      <c r="R58" s="65" t="n"/>
      <c r="S58" s="65" t="n"/>
      <c r="T58" s="65" t="n"/>
      <c r="U58" s="65" t="n"/>
    </row>
    <row r="59">
      <c r="J59" s="65" t="n"/>
      <c r="K59" s="65" t="n"/>
      <c r="L59" s="65" t="n"/>
      <c r="M59" s="65" t="n"/>
      <c r="N59" s="65" t="n"/>
      <c r="O59" s="65" t="n"/>
      <c r="P59" s="65" t="n"/>
      <c r="Q59" s="65" t="n"/>
      <c r="R59" s="65" t="n"/>
      <c r="S59" s="65" t="n"/>
      <c r="T59" s="65" t="n"/>
      <c r="U59" s="65" t="n"/>
    </row>
    <row r="60">
      <c r="J60" s="76" t="inlineStr">
        <is>
          <t>Segmentnamen der Investitionstabelle werden auf der Folie nach CapEx absteigend sortiert; nicht gezeigte Bereiche und die Überleitung zur Gesamtinvestition in die Fußnote.</t>
        </is>
      </c>
      <c r="K60" s="65" t="n"/>
      <c r="L60" s="65" t="n"/>
      <c r="M60" s="65" t="n"/>
      <c r="N60" s="65" t="n"/>
      <c r="O60" s="65" t="n"/>
      <c r="P60" s="65" t="n"/>
      <c r="Q60" s="65" t="n"/>
      <c r="R60" s="65" t="n"/>
      <c r="S60" s="65" t="n"/>
      <c r="T60" s="65" t="n"/>
      <c r="U60" s="65" t="n"/>
    </row>
    <row r="61">
      <c r="J61" s="65" t="n"/>
      <c r="K61" s="65" t="n"/>
      <c r="L61" s="65" t="n"/>
      <c r="M61" s="65" t="n"/>
      <c r="N61" s="65" t="n"/>
      <c r="O61" s="65" t="n"/>
      <c r="P61" s="65" t="n"/>
      <c r="Q61" s="65" t="n"/>
      <c r="R61" s="65" t="n"/>
      <c r="S61" s="65" t="n"/>
      <c r="T61" s="65" t="n"/>
      <c r="U61" s="65" t="n"/>
    </row>
    <row r="62">
      <c r="J62" s="65" t="n"/>
      <c r="K62" s="65" t="n"/>
      <c r="L62" s="65" t="n"/>
      <c r="M62" s="65" t="n"/>
      <c r="N62" s="65" t="n"/>
      <c r="O62" s="65" t="n"/>
      <c r="P62" s="65" t="n"/>
      <c r="Q62" s="65" t="n"/>
      <c r="R62" s="65" t="n"/>
      <c r="S62" s="65" t="n"/>
      <c r="T62" s="65" t="n"/>
      <c r="U62" s="65" t="n"/>
    </row>
    <row r="63">
      <c r="J63" s="65" t="n"/>
      <c r="K63" s="65" t="n"/>
      <c r="L63" s="65" t="n"/>
      <c r="M63" s="65" t="n"/>
      <c r="N63" s="65" t="n"/>
      <c r="O63" s="65" t="n"/>
      <c r="P63" s="65" t="n"/>
      <c r="Q63" s="65" t="n"/>
      <c r="R63" s="65" t="n"/>
      <c r="S63" s="65" t="n"/>
      <c r="T63" s="65" t="n"/>
      <c r="U63" s="65" t="n"/>
    </row>
    <row r="64">
      <c r="J64" s="65" t="n"/>
      <c r="K64" s="65" t="n"/>
      <c r="L64" s="65" t="n"/>
      <c r="M64" s="65" t="n"/>
      <c r="N64" s="65" t="n"/>
      <c r="O64" s="65" t="n"/>
      <c r="P64" s="65" t="n"/>
      <c r="Q64" s="65" t="n"/>
      <c r="R64" s="65" t="n"/>
      <c r="S64" s="65" t="n"/>
      <c r="T64" s="65" t="n"/>
      <c r="U64" s="65" t="n"/>
    </row>
    <row r="65">
      <c r="J65" s="65" t="n"/>
      <c r="K65" s="65" t="n"/>
      <c r="L65" s="65" t="n"/>
      <c r="M65" s="65" t="n"/>
      <c r="N65" s="65" t="n"/>
      <c r="O65" s="65" t="n"/>
      <c r="P65" s="65" t="n"/>
      <c r="Q65" s="65" t="n"/>
      <c r="R65" s="65" t="n"/>
      <c r="S65" s="65" t="n"/>
      <c r="T65" s="65" t="n"/>
      <c r="U65" s="65" t="n"/>
    </row>
    <row r="66">
      <c r="J66" s="65" t="n"/>
      <c r="K66" s="65" t="n"/>
      <c r="L66" s="65" t="n"/>
      <c r="M66" s="65" t="n"/>
      <c r="N66" s="65" t="n"/>
      <c r="O66" s="65" t="n"/>
      <c r="P66" s="65" t="n"/>
      <c r="Q66" s="65" t="n"/>
      <c r="R66" s="65" t="n"/>
      <c r="S66" s="65" t="n"/>
      <c r="T66" s="65" t="n"/>
      <c r="U66" s="65" t="n"/>
    </row>
    <row r="67">
      <c r="J67" s="65" t="n"/>
      <c r="K67" s="65" t="n"/>
      <c r="L67" s="65" t="n"/>
      <c r="M67" s="65" t="n"/>
      <c r="N67" s="65" t="n"/>
      <c r="O67" s="65" t="n"/>
      <c r="P67" s="65" t="n"/>
      <c r="Q67" s="65" t="n"/>
      <c r="R67" s="65" t="n"/>
      <c r="S67" s="65" t="n"/>
      <c r="T67" s="65" t="n"/>
      <c r="U67" s="65" t="n"/>
    </row>
    <row r="68">
      <c r="J68" s="65" t="n"/>
      <c r="K68" s="65" t="n"/>
      <c r="L68" s="65" t="n"/>
      <c r="M68" s="65" t="n"/>
      <c r="N68" s="65" t="n"/>
      <c r="O68" s="65" t="n"/>
      <c r="P68" s="65" t="n"/>
      <c r="Q68" s="65" t="n"/>
      <c r="R68" s="65" t="n"/>
      <c r="S68" s="65" t="n"/>
      <c r="T68" s="65" t="n"/>
      <c r="U68" s="65" t="n"/>
    </row>
    <row r="69">
      <c r="J69" s="65" t="n"/>
      <c r="K69" s="65" t="n"/>
      <c r="L69" s="65" t="n"/>
      <c r="M69" s="65" t="n"/>
      <c r="N69" s="65" t="n"/>
      <c r="O69" s="65" t="n"/>
      <c r="P69" s="65" t="n"/>
      <c r="Q69" s="65" t="n"/>
      <c r="R69" s="65" t="n"/>
      <c r="S69" s="65" t="n"/>
      <c r="T69" s="65" t="n"/>
      <c r="U69" s="65" t="n"/>
    </row>
    <row r="70">
      <c r="J70" s="65" t="n"/>
      <c r="K70" s="65" t="n"/>
      <c r="L70" s="65" t="n"/>
      <c r="M70" s="65" t="n"/>
      <c r="N70" s="65" t="n"/>
      <c r="O70" s="65" t="n"/>
      <c r="P70" s="65" t="n"/>
      <c r="Q70" s="65" t="n"/>
      <c r="R70" s="65" t="n"/>
      <c r="S70" s="65" t="n"/>
      <c r="T70" s="65" t="n"/>
      <c r="U70" s="65" t="n"/>
    </row>
    <row r="71">
      <c r="J71" s="65" t="n"/>
      <c r="K71" s="65" t="n"/>
      <c r="L71" s="65" t="n"/>
      <c r="M71" s="65" t="n"/>
      <c r="N71" s="65" t="n"/>
      <c r="O71" s="65" t="n"/>
      <c r="P71" s="65" t="n"/>
      <c r="Q71" s="65" t="n"/>
      <c r="R71" s="65" t="n"/>
      <c r="S71" s="65" t="n"/>
      <c r="T71" s="65" t="n"/>
      <c r="U71" s="65" t="n"/>
    </row>
    <row r="72">
      <c r="J72" s="65" t="n"/>
      <c r="K72" s="65" t="n"/>
      <c r="L72" s="65" t="n"/>
      <c r="M72" s="65" t="n"/>
      <c r="N72" s="65" t="n"/>
      <c r="O72" s="65" t="n"/>
      <c r="P72" s="65" t="n"/>
      <c r="Q72" s="65" t="n"/>
      <c r="R72" s="65" t="n"/>
      <c r="S72" s="65" t="n"/>
      <c r="T72" s="65" t="n"/>
      <c r="U72" s="65" t="n"/>
    </row>
    <row r="73">
      <c r="J73" s="65" t="n"/>
      <c r="K73" s="65" t="n"/>
      <c r="L73" s="65" t="n"/>
      <c r="M73" s="65" t="n"/>
      <c r="N73" s="65" t="n"/>
      <c r="O73" s="65" t="n"/>
      <c r="P73" s="65" t="n"/>
      <c r="Q73" s="65" t="n"/>
      <c r="R73" s="65" t="n"/>
      <c r="S73" s="65" t="n"/>
      <c r="T73" s="65" t="n"/>
      <c r="U73" s="65" t="n"/>
    </row>
    <row r="74">
      <c r="J74" s="65" t="n"/>
      <c r="K74" s="65" t="n"/>
      <c r="L74" s="65" t="n"/>
      <c r="M74" s="65" t="n"/>
      <c r="N74" s="65" t="n"/>
      <c r="O74" s="65" t="n"/>
      <c r="P74" s="65" t="n"/>
      <c r="Q74" s="65" t="n"/>
      <c r="R74" s="65" t="n"/>
      <c r="S74" s="65" t="n"/>
      <c r="T74" s="65" t="n"/>
      <c r="U74" s="65" t="n"/>
    </row>
    <row r="75">
      <c r="J75" s="65" t="n"/>
      <c r="K75" s="65" t="n"/>
      <c r="L75" s="65" t="n"/>
      <c r="M75" s="65" t="n"/>
      <c r="N75" s="65" t="n"/>
      <c r="O75" s="65" t="n"/>
      <c r="P75" s="65" t="n"/>
      <c r="Q75" s="65" t="n"/>
      <c r="R75" s="65" t="n"/>
      <c r="S75" s="65" t="n"/>
      <c r="T75" s="65" t="n"/>
      <c r="U75" s="65" t="n"/>
    </row>
    <row r="76">
      <c r="J76" s="65" t="n"/>
      <c r="K76" s="65" t="n"/>
      <c r="L76" s="65" t="n"/>
      <c r="M76" s="65" t="n"/>
      <c r="N76" s="65" t="n"/>
      <c r="O76" s="65" t="n"/>
      <c r="P76" s="65" t="n"/>
      <c r="Q76" s="65" t="n"/>
      <c r="R76" s="65" t="n"/>
      <c r="S76" s="65" t="n"/>
      <c r="T76" s="65" t="n"/>
      <c r="U76" s="65" t="n"/>
    </row>
    <row r="77">
      <c r="J77" s="65" t="n"/>
      <c r="K77" s="65" t="n"/>
      <c r="L77" s="65" t="n"/>
      <c r="M77" s="65" t="n"/>
      <c r="N77" s="65" t="n"/>
      <c r="O77" s="65" t="n"/>
      <c r="P77" s="65" t="n"/>
      <c r="Q77" s="65" t="n"/>
      <c r="R77" s="65" t="n"/>
      <c r="S77" s="65" t="n"/>
      <c r="T77" s="65" t="n"/>
      <c r="U77" s="65" t="n"/>
    </row>
    <row r="78">
      <c r="J78" s="65" t="n"/>
      <c r="K78" s="65" t="n"/>
      <c r="L78" s="65" t="n"/>
      <c r="M78" s="65" t="n"/>
      <c r="N78" s="65" t="n"/>
      <c r="O78" s="65" t="n"/>
      <c r="P78" s="65" t="n"/>
      <c r="Q78" s="65" t="n"/>
      <c r="R78" s="65" t="n"/>
      <c r="S78" s="65" t="n"/>
      <c r="T78" s="65" t="n"/>
      <c r="U78" s="65" t="n"/>
    </row>
    <row r="79">
      <c r="J79" s="65" t="n"/>
      <c r="K79" s="65" t="n"/>
      <c r="L79" s="65" t="n"/>
      <c r="M79" s="65" t="n"/>
      <c r="N79" s="65" t="n"/>
      <c r="O79" s="65" t="n"/>
      <c r="P79" s="65" t="n"/>
      <c r="Q79" s="65" t="n"/>
      <c r="R79" s="65" t="n"/>
      <c r="S79" s="65" t="n"/>
      <c r="T79" s="65" t="n"/>
      <c r="U79" s="65" t="n"/>
    </row>
  </sheetData>
  <mergeCells count="2">
    <mergeCell ref="B45:G46"/>
    <mergeCell ref="B42:G43"/>
  </mergeCells>
  <pageMargins left="0.75" right="0.75" top="1" bottom="1" header="0.5" footer="0.5"/>
</worksheet>
</file>

<file path=xl/worksheets/sheet4.xml><?xml version="1.0" encoding="utf-8"?>
<worksheet xmlns="http://schemas.openxmlformats.org/spreadsheetml/2006/main">
  <sheetPr>
    <tabColor rgb="00808080"/>
    <outlinePr summaryBelow="1" summaryRight="1"/>
    <pageSetUpPr/>
  </sheetPr>
  <dimension ref="A1:A1"/>
  <sheetViews>
    <sheetView showGridLines="0"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6"/>
  <sheetViews>
    <sheetView showGridLines="0" workbookViewId="0">
      <selection activeCell="A1" sqref="A1"/>
    </sheetView>
  </sheetViews>
  <sheetFormatPr baseColWidth="8" defaultRowHeight="15"/>
  <cols>
    <col width="9" customWidth="1" min="1" max="1"/>
    <col width="78" customWidth="1" min="2" max="2"/>
    <col width="14" customWidth="1" min="3" max="3"/>
    <col width="14" customWidth="1" min="4" max="4"/>
    <col width="14" customWidth="1" min="5" max="5"/>
    <col width="14" customWidth="1" min="6" max="6"/>
    <col width="14" customWidth="1" min="7" max="7"/>
    <col width="9" customWidth="1" min="8" max="8"/>
  </cols>
  <sheetData>
    <row r="1"/>
    <row r="2" ht="21" customHeight="1">
      <c r="B2" s="44" t="inlineStr">
        <is>
          <t>‹Gesellschaft› – Bilanz zum 31. Dezember 2021–2025</t>
        </is>
      </c>
      <c r="C2" s="44" t="n"/>
      <c r="D2" s="44" t="n"/>
      <c r="E2" s="44" t="n"/>
      <c r="F2" s="44" t="n"/>
      <c r="G2" s="44" t="n"/>
    </row>
    <row r="3">
      <c r="B3" s="4" t="inlineStr">
        <is>
          <t>Mio. EUR</t>
        </is>
      </c>
      <c r="C3" s="6">
        <f>Cover!$C$24</f>
        <v/>
      </c>
      <c r="D3" s="6">
        <f>C3+1</f>
        <v/>
      </c>
      <c r="E3" s="6">
        <f>D3+1</f>
        <v/>
      </c>
      <c r="F3" s="6">
        <f>E3+1</f>
        <v/>
      </c>
      <c r="G3" s="6">
        <f>F3+1</f>
        <v/>
      </c>
    </row>
    <row r="4"/>
    <row r="5">
      <c r="B5" s="7" t="inlineStr">
        <is>
          <t>AKTIVA</t>
        </is>
      </c>
    </row>
    <row r="6">
      <c r="B6" s="45" t="inlineStr">
        <is>
          <t>A. Anlagevermögen (1)</t>
        </is>
      </c>
      <c r="C6" s="46">
        <f>SUM(C7:C9)</f>
        <v/>
      </c>
      <c r="D6" s="46">
        <f>SUM(D7:D9)</f>
        <v/>
      </c>
      <c r="E6" s="46">
        <f>SUM(E7:E9)</f>
        <v/>
      </c>
      <c r="F6" s="46">
        <f>SUM(F7:F9)</f>
        <v/>
      </c>
      <c r="G6" s="46">
        <f>SUM(G7:G9)</f>
        <v/>
      </c>
    </row>
    <row r="7">
      <c r="B7" s="47" t="inlineStr">
        <is>
          <t>I. Immaterielle Vermögensgegenstände</t>
        </is>
      </c>
      <c r="C7" s="48" t="n"/>
      <c r="D7" s="48" t="n"/>
      <c r="E7" s="48" t="n"/>
      <c r="F7" s="48" t="n"/>
      <c r="G7" s="48" t="n"/>
    </row>
    <row r="8">
      <c r="B8" s="47" t="inlineStr">
        <is>
          <t>II. Sachanlagen</t>
        </is>
      </c>
      <c r="C8" s="48" t="n"/>
      <c r="D8" s="48" t="n"/>
      <c r="E8" s="48" t="n"/>
      <c r="F8" s="48" t="n"/>
      <c r="G8" s="48" t="n"/>
    </row>
    <row r="9">
      <c r="B9" s="47" t="inlineStr">
        <is>
          <t>III. Finanzanlagen</t>
        </is>
      </c>
      <c r="C9" s="48" t="n"/>
      <c r="D9" s="48" t="n"/>
      <c r="E9" s="48" t="n"/>
      <c r="F9" s="48" t="n"/>
      <c r="G9" s="48" t="n"/>
    </row>
    <row r="10"/>
    <row r="11">
      <c r="B11" s="45" t="inlineStr">
        <is>
          <t>B. Umlaufvermögen</t>
        </is>
      </c>
      <c r="C11" s="46">
        <f>SUM(C12:C14)</f>
        <v/>
      </c>
      <c r="D11" s="46">
        <f>SUM(D12:D14)</f>
        <v/>
      </c>
      <c r="E11" s="46">
        <f>SUM(E12:E14)</f>
        <v/>
      </c>
      <c r="F11" s="46">
        <f>SUM(F12:F14)</f>
        <v/>
      </c>
      <c r="G11" s="46">
        <f>SUM(G12:G14)</f>
        <v/>
      </c>
    </row>
    <row r="12">
      <c r="B12" s="47" t="inlineStr">
        <is>
          <t>I. Vorräte (2)</t>
        </is>
      </c>
      <c r="C12" s="48" t="n"/>
      <c r="D12" s="48" t="n"/>
      <c r="E12" s="48" t="n"/>
      <c r="F12" s="48" t="n"/>
      <c r="G12" s="48" t="n"/>
    </row>
    <row r="13">
      <c r="B13" s="47" t="inlineStr">
        <is>
          <t>II. Forderungen und sonstige Vermögensgegenstände (3)</t>
        </is>
      </c>
      <c r="C13" s="48" t="n"/>
      <c r="D13" s="48" t="n"/>
      <c r="E13" s="48" t="n"/>
      <c r="F13" s="48" t="n"/>
      <c r="G13" s="48" t="n"/>
    </row>
    <row r="14">
      <c r="B14" s="47" t="inlineStr">
        <is>
          <t>III. Kassenbestand und Guthaben bei Kreditinstituten</t>
        </is>
      </c>
      <c r="C14" s="48" t="n"/>
      <c r="D14" s="48" t="n"/>
      <c r="E14" s="48" t="n"/>
      <c r="F14" s="48" t="n"/>
      <c r="G14" s="48" t="n"/>
    </row>
    <row r="15"/>
    <row r="16">
      <c r="B16" s="7" t="inlineStr">
        <is>
          <t>C. Rechnungsabgrenzungsposten</t>
        </is>
      </c>
      <c r="C16" s="49" t="n"/>
      <c r="D16" s="49" t="n"/>
      <c r="E16" s="49" t="n"/>
      <c r="F16" s="49" t="n"/>
      <c r="G16" s="49" t="n"/>
    </row>
    <row r="17">
      <c r="B17" s="39" t="inlineStr">
        <is>
          <t>Bilanzsumme Aktiva</t>
        </is>
      </c>
      <c r="C17" s="40">
        <f>C6+C11+C16</f>
        <v/>
      </c>
      <c r="D17" s="40">
        <f>D6+D11+D16</f>
        <v/>
      </c>
      <c r="E17" s="40">
        <f>E6+E11+E16</f>
        <v/>
      </c>
      <c r="F17" s="40">
        <f>F6+F11+F16</f>
        <v/>
      </c>
      <c r="G17" s="40">
        <f>G6+G11+G16</f>
        <v/>
      </c>
    </row>
    <row r="18"/>
    <row r="19">
      <c r="B19" s="7" t="inlineStr">
        <is>
          <t>PASSIVA</t>
        </is>
      </c>
    </row>
    <row r="20">
      <c r="B20" s="45" t="inlineStr">
        <is>
          <t>A. Eigenkapital (4)</t>
        </is>
      </c>
      <c r="C20" s="46">
        <f>SUM(C21:C24)</f>
        <v/>
      </c>
      <c r="D20" s="46">
        <f>SUM(D21:D24)</f>
        <v/>
      </c>
      <c r="E20" s="46">
        <f>SUM(E21:E24)</f>
        <v/>
      </c>
      <c r="F20" s="46">
        <f>SUM(F21:F24)</f>
        <v/>
      </c>
      <c r="G20" s="46">
        <f>SUM(G21:G24)</f>
        <v/>
      </c>
    </row>
    <row r="21">
      <c r="B21" s="47" t="inlineStr">
        <is>
          <t>I. Gezeichnetes Kapital</t>
        </is>
      </c>
      <c r="C21" s="48" t="n"/>
      <c r="D21" s="48" t="n"/>
      <c r="E21" s="48" t="n"/>
      <c r="F21" s="48" t="n"/>
      <c r="G21" s="48" t="n"/>
    </row>
    <row r="22">
      <c r="B22" s="47" t="inlineStr">
        <is>
          <t>II. Kapitalrücklage</t>
        </is>
      </c>
      <c r="C22" s="48" t="n"/>
      <c r="D22" s="48" t="n"/>
      <c r="E22" s="48" t="n"/>
      <c r="F22" s="48" t="n"/>
      <c r="G22" s="48" t="n"/>
    </row>
    <row r="23">
      <c r="B23" s="47" t="inlineStr">
        <is>
          <t>III. Gewinnrücklagen</t>
        </is>
      </c>
      <c r="C23" s="48" t="n"/>
      <c r="D23" s="48" t="n"/>
      <c r="E23" s="48" t="n"/>
      <c r="F23" s="48" t="n"/>
      <c r="G23" s="48" t="n"/>
    </row>
    <row r="24">
      <c r="B24" s="47" t="inlineStr">
        <is>
          <t>IV. Bilanzgewinn</t>
        </is>
      </c>
      <c r="C24" s="48" t="n"/>
      <c r="D24" s="48" t="n"/>
      <c r="E24" s="48" t="n"/>
      <c r="F24" s="48" t="n"/>
      <c r="G24" s="48" t="n"/>
    </row>
    <row r="25"/>
    <row r="26">
      <c r="B26" s="7" t="inlineStr">
        <is>
          <t>B. Empfangene Ertragszuschüsse</t>
        </is>
      </c>
      <c r="C26" s="49" t="n"/>
      <c r="D26" s="49" t="n"/>
      <c r="E26" s="49" t="n"/>
      <c r="F26" s="49" t="n"/>
      <c r="G26" s="49" t="n"/>
    </row>
    <row r="27">
      <c r="B27" s="7" t="inlineStr">
        <is>
          <t>C. Rückstellungen (5)</t>
        </is>
      </c>
      <c r="C27" s="49" t="n"/>
      <c r="D27" s="49" t="n"/>
      <c r="E27" s="49" t="n"/>
      <c r="F27" s="49" t="n"/>
      <c r="G27" s="49" t="n"/>
    </row>
    <row r="28">
      <c r="B28" s="7" t="inlineStr">
        <is>
          <t>D. Verbindlichkeiten (6)</t>
        </is>
      </c>
      <c r="C28" s="49" t="n"/>
      <c r="D28" s="49" t="n"/>
      <c r="E28" s="49" t="n"/>
      <c r="F28" s="49" t="n"/>
      <c r="G28" s="49" t="n"/>
    </row>
    <row r="29">
      <c r="B29" s="47" t="inlineStr">
        <is>
          <t>davon gegenüber Kreditinstituten</t>
        </is>
      </c>
      <c r="C29" s="48" t="n"/>
      <c r="D29" s="48" t="n"/>
      <c r="E29" s="48" t="n"/>
      <c r="F29" s="48" t="n"/>
      <c r="G29" s="48" t="n"/>
    </row>
    <row r="30">
      <c r="B30" s="7" t="inlineStr">
        <is>
          <t>E. Rechnungsabgrenzungsposten</t>
        </is>
      </c>
      <c r="C30" s="49" t="n"/>
      <c r="D30" s="49" t="n"/>
      <c r="E30" s="49" t="n"/>
      <c r="F30" s="49" t="n"/>
      <c r="G30" s="49" t="n"/>
    </row>
    <row r="31">
      <c r="B31" s="39" t="inlineStr">
        <is>
          <t>Bilanzsumme Passiva</t>
        </is>
      </c>
      <c r="C31" s="40">
        <f>C20+C26+C27+C28+C30</f>
        <v/>
      </c>
      <c r="D31" s="40">
        <f>D20+D26+D27+D28+D30</f>
        <v/>
      </c>
      <c r="E31" s="40">
        <f>E20+E26+E27+E28+E30</f>
        <v/>
      </c>
      <c r="F31" s="40">
        <f>F20+F26+F27+F28+F30</f>
        <v/>
      </c>
      <c r="G31" s="40">
        <f>G20+G26+G27+G28+G30</f>
        <v/>
      </c>
    </row>
    <row r="32"/>
    <row r="33">
      <c r="B33" s="8" t="inlineStr">
        <is>
          <t>Kontrolle: Bilanzsumme Aktiva ./. Passiva (muss 0 sein)</t>
        </is>
      </c>
      <c r="C33" s="50">
        <f>ROUND(C17-C31,6)</f>
        <v/>
      </c>
      <c r="D33" s="50">
        <f>ROUND(D17-D31,6)</f>
        <v/>
      </c>
      <c r="E33" s="50">
        <f>ROUND(E17-E31,6)</f>
        <v/>
      </c>
      <c r="F33" s="50">
        <f>ROUND(F17-F31,6)</f>
        <v/>
      </c>
      <c r="G33" s="50">
        <f>ROUND(G17-G31,6)</f>
        <v/>
      </c>
    </row>
    <row r="34"/>
    <row r="35">
      <c r="B35" s="14" t="inlineStr">
        <is>
          <t>Quelle: Unternehmensregister – ‹Gesellschaft›, ‹Stadt›, HRB 2105 (Amtsgericht ‹Stadt›): Jahresabschluss 2021 (GJ 2021), 2022 (GJ 2022), 2023 (GJ 2023) und 2024 (GJ 2024); Geschäftsbericht 2025, Seite 73 (GJ 2025). Beträge in Tausend EUR veröffentlicht und hier in Mio. EUR dargestellt. Die Position „davon gegenüber Kreditinstituten“ stammt aus dem Verbindlichkeitenspiegel im Anhang (JA 2021 S. 17, JA 2022 S. 18, JA 2023 S. 8, JA 2024 S. 7, GB 2025 S. 82) und ist nachrichtlich ausgewiesen; sie geht nicht in die Bilanzsumme ein.</t>
        </is>
      </c>
    </row>
    <row r="36"/>
  </sheetData>
  <mergeCells count="1">
    <mergeCell ref="B35:G3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4"/>
  <sheetViews>
    <sheetView showGridLines="0" workbookViewId="0">
      <selection activeCell="A1" sqref="A1"/>
    </sheetView>
  </sheetViews>
  <sheetFormatPr baseColWidth="8" defaultRowHeight="15"/>
  <cols>
    <col width="9" customWidth="1" min="1" max="1"/>
    <col width="78" customWidth="1" min="2" max="2"/>
    <col width="14" customWidth="1" min="3" max="3"/>
    <col width="14" customWidth="1" min="4" max="4"/>
    <col width="14" customWidth="1" min="5" max="5"/>
    <col width="14" customWidth="1" min="6" max="6"/>
    <col width="14" customWidth="1" min="7" max="7"/>
    <col width="9" customWidth="1" min="8" max="8"/>
  </cols>
  <sheetData>
    <row r="1"/>
    <row r="2" ht="21" customHeight="1">
      <c r="B2" s="44" t="inlineStr">
        <is>
          <t>‹Gesellschaft› – Gewinn- und Verlustrechnung 2021–2025</t>
        </is>
      </c>
      <c r="C2" s="44" t="n"/>
      <c r="D2" s="44" t="n"/>
      <c r="E2" s="44" t="n"/>
      <c r="F2" s="44" t="n"/>
      <c r="G2" s="44" t="n"/>
    </row>
    <row r="3">
      <c r="B3" s="4" t="inlineStr">
        <is>
          <t>Mio. EUR</t>
        </is>
      </c>
      <c r="C3" s="6">
        <f>Cover!$C$24</f>
        <v/>
      </c>
      <c r="D3" s="6">
        <f>C3+1</f>
        <v/>
      </c>
      <c r="E3" s="6">
        <f>D3+1</f>
        <v/>
      </c>
      <c r="F3" s="6">
        <f>E3+1</f>
        <v/>
      </c>
      <c r="G3" s="6">
        <f>F3+1</f>
        <v/>
      </c>
    </row>
    <row r="4"/>
    <row r="5">
      <c r="B5" s="7" t="inlineStr">
        <is>
          <t>1. Umsatzerlöse (10)</t>
        </is>
      </c>
      <c r="C5" s="49" t="n"/>
      <c r="D5" s="49" t="n"/>
      <c r="E5" s="49" t="n"/>
      <c r="F5" s="49" t="n"/>
      <c r="G5" s="49" t="n"/>
    </row>
    <row r="6">
      <c r="B6" s="8" t="inlineStr">
        <is>
          <t>2. Veränderung des Bestands an unfertigen Leistungen</t>
        </is>
      </c>
      <c r="C6" s="48" t="n"/>
      <c r="D6" s="48" t="n"/>
      <c r="E6" s="48" t="n"/>
      <c r="F6" s="48" t="n"/>
      <c r="G6" s="48" t="n"/>
    </row>
    <row r="7">
      <c r="B7" s="8" t="inlineStr">
        <is>
          <t>3. Andere aktivierte Eigenleistungen (11)</t>
        </is>
      </c>
      <c r="C7" s="48" t="n"/>
      <c r="D7" s="48" t="n"/>
      <c r="E7" s="48" t="n"/>
      <c r="F7" s="48" t="n"/>
      <c r="G7" s="48" t="n"/>
    </row>
    <row r="8">
      <c r="B8" s="8" t="inlineStr">
        <is>
          <t>4. Sonstige betriebliche Erträge (12)</t>
        </is>
      </c>
      <c r="C8" s="48" t="n"/>
      <c r="D8" s="48" t="n"/>
      <c r="E8" s="48" t="n"/>
      <c r="F8" s="48" t="n"/>
      <c r="G8" s="48" t="n"/>
    </row>
    <row r="9">
      <c r="B9" s="8" t="inlineStr">
        <is>
          <t>5. Materialaufwand (13)</t>
        </is>
      </c>
      <c r="C9" s="48" t="n"/>
      <c r="D9" s="48" t="n"/>
      <c r="E9" s="48" t="n"/>
      <c r="F9" s="48" t="n"/>
      <c r="G9" s="48" t="n"/>
    </row>
    <row r="10">
      <c r="B10" s="8" t="inlineStr">
        <is>
          <t>6. Personalaufwand (14)</t>
        </is>
      </c>
      <c r="C10" s="48" t="n"/>
      <c r="D10" s="48" t="n"/>
      <c r="E10" s="48" t="n"/>
      <c r="F10" s="48" t="n"/>
      <c r="G10" s="48" t="n"/>
    </row>
    <row r="11">
      <c r="B11" s="8" t="inlineStr">
        <is>
          <t>7. Abschreibungen (15)</t>
        </is>
      </c>
      <c r="C11" s="48" t="n"/>
      <c r="D11" s="48" t="n"/>
      <c r="E11" s="48" t="n"/>
      <c r="F11" s="48" t="n"/>
      <c r="G11" s="48" t="n"/>
    </row>
    <row r="12">
      <c r="B12" s="8" t="inlineStr">
        <is>
          <t>8. Sonstige betriebliche Aufwendungen (16)</t>
        </is>
      </c>
      <c r="C12" s="48" t="n"/>
      <c r="D12" s="48" t="n"/>
      <c r="E12" s="48" t="n"/>
      <c r="F12" s="48" t="n"/>
      <c r="G12" s="48" t="n"/>
    </row>
    <row r="13">
      <c r="B13" s="39" t="inlineStr">
        <is>
          <t>9. Betriebliches Ergebnis</t>
        </is>
      </c>
      <c r="C13" s="40">
        <f>SUM(C5:C8)-SUM(C9:C12)</f>
        <v/>
      </c>
      <c r="D13" s="40">
        <f>SUM(D5:D8)-SUM(D9:D12)</f>
        <v/>
      </c>
      <c r="E13" s="40">
        <f>SUM(E5:E8)-SUM(E9:E12)</f>
        <v/>
      </c>
      <c r="F13" s="40">
        <f>SUM(F5:F8)-SUM(F9:F12)</f>
        <v/>
      </c>
      <c r="G13" s="40">
        <f>SUM(G5:G8)-SUM(G9:G12)</f>
        <v/>
      </c>
    </row>
    <row r="14"/>
    <row r="15">
      <c r="B15" s="8" t="inlineStr">
        <is>
          <t>10. Beteiligungsergebnis (17)</t>
        </is>
      </c>
      <c r="C15" s="48" t="n"/>
      <c r="D15" s="48" t="n"/>
      <c r="E15" s="48" t="n"/>
      <c r="F15" s="48" t="n"/>
      <c r="G15" s="48" t="n"/>
    </row>
    <row r="16">
      <c r="B16" s="8" t="inlineStr">
        <is>
          <t>11. Abschreibungen auf Finanzanlagen (18)</t>
        </is>
      </c>
      <c r="C16" s="48" t="n"/>
      <c r="D16" s="48" t="n"/>
      <c r="E16" s="48" t="n"/>
      <c r="F16" s="48" t="n"/>
      <c r="G16" s="48" t="n"/>
    </row>
    <row r="17">
      <c r="B17" s="8" t="inlineStr">
        <is>
          <t>12. Zinsergebnis (19)</t>
        </is>
      </c>
      <c r="C17" s="48" t="n"/>
      <c r="D17" s="48" t="n"/>
      <c r="E17" s="48" t="n"/>
      <c r="F17" s="48" t="n"/>
      <c r="G17" s="48" t="n"/>
    </row>
    <row r="18">
      <c r="B18" s="39" t="inlineStr">
        <is>
          <t>13. Ergebnis vor Steuern</t>
        </is>
      </c>
      <c r="C18" s="40">
        <f>C13+C15-C16+C17</f>
        <v/>
      </c>
      <c r="D18" s="40">
        <f>D13+D15-D16+D17</f>
        <v/>
      </c>
      <c r="E18" s="40">
        <f>E13+E15-E16+E17</f>
        <v/>
      </c>
      <c r="F18" s="40">
        <f>F13+F15-F16+F17</f>
        <v/>
      </c>
      <c r="G18" s="40">
        <f>G13+G15-G16+G17</f>
        <v/>
      </c>
    </row>
    <row r="19"/>
    <row r="20">
      <c r="B20" s="8" t="inlineStr">
        <is>
          <t>14. Steuern vom Einkommen und vom Ertrag (20)</t>
        </is>
      </c>
      <c r="C20" s="48" t="n"/>
      <c r="D20" s="48" t="n"/>
      <c r="E20" s="48" t="n"/>
      <c r="F20" s="48" t="n"/>
      <c r="G20" s="48" t="n"/>
    </row>
    <row r="21">
      <c r="B21" s="39" t="inlineStr">
        <is>
          <t>15. Ergebnis nach Steuern</t>
        </is>
      </c>
      <c r="C21" s="40">
        <f>C18-C20</f>
        <v/>
      </c>
      <c r="D21" s="40">
        <f>D18-D20</f>
        <v/>
      </c>
      <c r="E21" s="40">
        <f>E18-E20</f>
        <v/>
      </c>
      <c r="F21" s="40">
        <f>F18-F20</f>
        <v/>
      </c>
      <c r="G21" s="40">
        <f>G18-G20</f>
        <v/>
      </c>
    </row>
    <row r="22"/>
    <row r="23">
      <c r="B23" s="8" t="inlineStr">
        <is>
          <t>16. Sonstige Steuern (21)</t>
        </is>
      </c>
      <c r="C23" s="48" t="n"/>
      <c r="D23" s="48" t="n"/>
      <c r="E23" s="48" t="n"/>
      <c r="F23" s="48" t="n"/>
      <c r="G23" s="48" t="n"/>
    </row>
    <row r="24">
      <c r="B24" s="39" t="inlineStr">
        <is>
          <t>17. Unternehmensergebnis / Jahresüberschuss</t>
        </is>
      </c>
      <c r="C24" s="40">
        <f>C21-C23</f>
        <v/>
      </c>
      <c r="D24" s="40">
        <f>D21-D23</f>
        <v/>
      </c>
      <c r="E24" s="40">
        <f>E21-E23</f>
        <v/>
      </c>
      <c r="F24" s="40">
        <f>F21-F23</f>
        <v/>
      </c>
      <c r="G24" s="40">
        <f>G21-G23</f>
        <v/>
      </c>
    </row>
    <row r="25"/>
    <row r="26">
      <c r="B26" s="8" t="inlineStr">
        <is>
          <t>18. Einstellung in die anderen Gewinnrücklagen (22)</t>
        </is>
      </c>
      <c r="C26" s="48" t="n"/>
      <c r="D26" s="48" t="n"/>
      <c r="E26" s="48" t="n"/>
      <c r="F26" s="48" t="n"/>
      <c r="G26" s="48" t="n"/>
    </row>
    <row r="27">
      <c r="B27" s="8" t="inlineStr">
        <is>
          <t>19. Aufwendungen für Ausgleichszahlung</t>
        </is>
      </c>
      <c r="C27" s="48" t="n"/>
      <c r="D27" s="48" t="n"/>
      <c r="E27" s="48" t="n"/>
      <c r="F27" s="48" t="n"/>
      <c r="G27" s="48" t="n"/>
    </row>
    <row r="28">
      <c r="B28" s="8" t="inlineStr">
        <is>
          <t>20. Aufgrund eines Ergebnisabführungsvertrags abgeführter Gewinn</t>
        </is>
      </c>
      <c r="C28" s="48" t="n"/>
      <c r="D28" s="48" t="n"/>
      <c r="E28" s="48" t="n"/>
      <c r="F28" s="48" t="n"/>
      <c r="G28" s="48" t="n"/>
    </row>
    <row r="29">
      <c r="B29" s="39" t="inlineStr">
        <is>
          <t>21. Bilanzgewinn</t>
        </is>
      </c>
      <c r="C29" s="40">
        <f>ROUND(C24-SUM(C26:C28),6)</f>
        <v/>
      </c>
      <c r="D29" s="40">
        <f>ROUND(D24-SUM(D26:D28),6)</f>
        <v/>
      </c>
      <c r="E29" s="40">
        <f>ROUND(E24-SUM(E26:E28),6)</f>
        <v/>
      </c>
      <c r="F29" s="40">
        <f>ROUND(F24-SUM(F26:F28),6)</f>
        <v/>
      </c>
      <c r="G29" s="40">
        <f>ROUND(G24-SUM(G26:G28),6)</f>
        <v/>
      </c>
    </row>
    <row r="30"/>
    <row r="31">
      <c r="B31" s="8" t="inlineStr">
        <is>
          <t>Kontrolle: Bilanzgewinn GuV ./. Bilanzgewinn Bilanz (muss 0 sein)</t>
        </is>
      </c>
      <c r="C31" s="50">
        <f>ROUND(C29-'GES Bilanz'!C24,6)</f>
        <v/>
      </c>
      <c r="D31" s="50">
        <f>ROUND(D29-'GES Bilanz'!D24,6)</f>
        <v/>
      </c>
      <c r="E31" s="50">
        <f>ROUND(E29-'GES Bilanz'!E24,6)</f>
        <v/>
      </c>
      <c r="F31" s="50">
        <f>ROUND(F29-'GES Bilanz'!F24,6)</f>
        <v/>
      </c>
      <c r="G31" s="50">
        <f>ROUND(G29-'GES Bilanz'!G24,6)</f>
        <v/>
      </c>
    </row>
    <row r="32"/>
    <row r="33">
      <c r="B33" s="14" t="inlineStr">
        <is>
          <t>Quelle: Unternehmensregister – ‹Gesellschaft›, HRB 2105, Jahresabschlüsse 2021 bis 2024; Geschäftsbericht 2025, Seite 74 (GJ 2025). Die Positionsnummerierung folgt dem Jahresabschluss 2024. Die Gewinn- und Verlustrechnung 2025 weist die Position „Einstellung in die anderen Gewinnrücklagen“ nicht aus; sie ist für 2025 mit null angesetzt, wodurch die Gliederung über alle fünf Jahre einheitlich bleibt und der Bilanzgewinn in jedem Jahr auf null überleitet.</t>
        </is>
      </c>
    </row>
    <row r="34"/>
  </sheetData>
  <mergeCells count="1">
    <mergeCell ref="B33:G3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8"/>
  <sheetViews>
    <sheetView showGridLines="0" workbookViewId="0">
      <selection activeCell="A1" sqref="A1"/>
    </sheetView>
  </sheetViews>
  <sheetFormatPr baseColWidth="8" defaultRowHeight="15"/>
  <cols>
    <col width="9" customWidth="1" min="1" max="1"/>
    <col width="78" customWidth="1" min="2" max="2"/>
    <col width="14" customWidth="1" min="3" max="3"/>
    <col width="14" customWidth="1" min="4" max="4"/>
    <col width="14" customWidth="1" min="5" max="5"/>
    <col width="14" customWidth="1" min="6" max="6"/>
    <col width="14" customWidth="1" min="7" max="7"/>
    <col width="9" customWidth="1" min="8" max="8"/>
  </cols>
  <sheetData>
    <row r="1"/>
    <row r="2" ht="21" customHeight="1">
      <c r="B2" s="44" t="inlineStr">
        <is>
          <t>‹Gesellschaft› – Kapitalflussrechnung nach DRS 21 2021–2025</t>
        </is>
      </c>
      <c r="C2" s="44" t="n"/>
      <c r="D2" s="44" t="n"/>
      <c r="E2" s="44" t="n"/>
      <c r="F2" s="44" t="n"/>
      <c r="G2" s="44" t="n"/>
    </row>
    <row r="3">
      <c r="B3" s="4" t="inlineStr">
        <is>
          <t>Mio. EUR</t>
        </is>
      </c>
      <c r="C3" s="6">
        <f>Cover!$C$24</f>
        <v/>
      </c>
      <c r="D3" s="6">
        <f>C3+1</f>
        <v/>
      </c>
      <c r="E3" s="6">
        <f>D3+1</f>
        <v/>
      </c>
      <c r="F3" s="6">
        <f>E3+1</f>
        <v/>
      </c>
      <c r="G3" s="6">
        <f>F3+1</f>
        <v/>
      </c>
    </row>
    <row r="4"/>
    <row r="5">
      <c r="B5" s="7" t="inlineStr">
        <is>
          <t>(+) Cashflow aus laufender Geschäftstätigkeit</t>
        </is>
      </c>
      <c r="C5" s="49" t="n"/>
      <c r="D5" s="49" t="n"/>
      <c r="E5" s="49" t="n"/>
      <c r="F5" s="49" t="n"/>
      <c r="G5" s="49" t="n"/>
    </row>
    <row r="6">
      <c r="B6" s="7" t="inlineStr">
        <is>
          <t>(+) Cashflow aus der Investitionstätigkeit</t>
        </is>
      </c>
      <c r="C6" s="49" t="n"/>
      <c r="D6" s="49" t="n"/>
      <c r="E6" s="49" t="n"/>
      <c r="F6" s="49" t="n"/>
      <c r="G6" s="49" t="n"/>
    </row>
    <row r="7">
      <c r="B7" s="7" t="inlineStr">
        <is>
          <t>(+) Cashflow aus der Finanzierungstätigkeit</t>
        </is>
      </c>
      <c r="C7" s="49" t="n"/>
      <c r="D7" s="49" t="n"/>
      <c r="E7" s="49" t="n"/>
      <c r="F7" s="49" t="n"/>
      <c r="G7" s="49" t="n"/>
    </row>
    <row r="8"/>
    <row r="9">
      <c r="B9" s="45" t="inlineStr">
        <is>
          <t>(=) Zahlungswirksame Veränderung des Finanzmittelfonds</t>
        </is>
      </c>
      <c r="C9" s="46">
        <f>SUM(C5:C7)</f>
        <v/>
      </c>
      <c r="D9" s="46">
        <f>SUM(D5:D7)</f>
        <v/>
      </c>
      <c r="E9" s="46">
        <f>SUM(E5:E7)</f>
        <v/>
      </c>
      <c r="F9" s="46">
        <f>SUM(F5:F7)</f>
        <v/>
      </c>
      <c r="G9" s="46">
        <f>SUM(G5:G7)</f>
        <v/>
      </c>
    </row>
    <row r="10">
      <c r="B10" s="8" t="inlineStr">
        <is>
          <t>(+) Finanzmittelfonds am Anfang der Periode</t>
        </is>
      </c>
      <c r="C10" s="48" t="n"/>
      <c r="D10" s="48" t="n"/>
      <c r="E10" s="48" t="n"/>
      <c r="F10" s="48" t="n"/>
      <c r="G10" s="48" t="n"/>
    </row>
    <row r="11">
      <c r="B11" s="39" t="inlineStr">
        <is>
          <t>Finanzmittelfonds am Ende der Periode</t>
        </is>
      </c>
      <c r="C11" s="40">
        <f>C10+C9</f>
        <v/>
      </c>
      <c r="D11" s="40">
        <f>D10+D9</f>
        <v/>
      </c>
      <c r="E11" s="40">
        <f>E10+E9</f>
        <v/>
      </c>
      <c r="F11" s="40">
        <f>F10+F9</f>
        <v/>
      </c>
      <c r="G11" s="40">
        <f>G10+G9</f>
        <v/>
      </c>
    </row>
    <row r="12"/>
    <row r="13">
      <c r="B13" s="8" t="inlineStr">
        <is>
          <t>nachrichtlich: veröffentlichter Endbestand lt. Lagebericht</t>
        </is>
      </c>
      <c r="C13" s="48" t="n"/>
      <c r="D13" s="48" t="n"/>
      <c r="E13" s="48" t="n"/>
      <c r="F13" s="48" t="n"/>
      <c r="G13" s="48" t="n"/>
    </row>
    <row r="14">
      <c r="B14" s="8" t="inlineStr">
        <is>
          <t>Kontrolle: berechneter ./. veröffentlichter Endbestand (muss 0 sein)</t>
        </is>
      </c>
      <c r="C14" s="50">
        <f>ROUND(C11-C13,1)</f>
        <v/>
      </c>
      <c r="D14" s="50">
        <f>ROUND(D11-D13,1)</f>
        <v/>
      </c>
      <c r="E14" s="50">
        <f>ROUND(E11-E13,1)</f>
        <v/>
      </c>
      <c r="F14" s="50">
        <f>ROUND(F11-F13,1)</f>
        <v/>
      </c>
      <c r="G14" s="50">
        <f>ROUND(G11-G13,1)</f>
        <v/>
      </c>
    </row>
    <row r="15">
      <c r="B15" s="8" t="inlineStr">
        <is>
          <t>Kontrolle: Endbestand ./. Kassenbestand lt. Bilanz (muss 0 sein)</t>
        </is>
      </c>
      <c r="C15" s="50">
        <f>ROUND(C11-'GES Bilanz'!C14,1)</f>
        <v/>
      </c>
      <c r="D15" s="50">
        <f>ROUND(D11-'GES Bilanz'!D14,1)</f>
        <v/>
      </c>
      <c r="E15" s="50">
        <f>ROUND(E11-'GES Bilanz'!E14,1)</f>
        <v/>
      </c>
      <c r="F15" s="50">
        <f>ROUND(F11-'GES Bilanz'!F14,1)</f>
        <v/>
      </c>
      <c r="G15" s="50">
        <f>ROUND(G11-'GES Bilanz'!G14,1)</f>
        <v/>
      </c>
    </row>
    <row r="16"/>
    <row r="17">
      <c r="B17" s="14" t="inlineStr">
        <is>
          <t>Quelle: Lagebericht im jeweiligen Jahresabschluss (JA 2022 für GJ 2021 und 2022, JA 2023 S. 25, JA 2024 S. 26) sowie Geschäftsbericht 2025, Seite 18 (GJ 2024 und 2025). Die Gesellschaft veröffentlicht die Kapitalflussrechnung ausschließlich in dieser verkürzten Form; eine Überleitung der einzelnen DRS-21-Posten (Jahresergebnis, Abschreibungen, Working-Capital-Veränderungen usw.) ist aus den veröffentlichten Abschlüssen nicht ableitbar. Für 2022 nennt der JA 2022 abweichend 95,4 / -44,9 / -23,5 Mio. EUR; angesetzt sind die Werte des JA 2023 – die Summe ist in beiden Fassungen identisch (Umgliederung).</t>
        </is>
      </c>
    </row>
    <row r="18"/>
  </sheetData>
  <mergeCells count="1">
    <mergeCell ref="B17:G1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4"/>
  <sheetViews>
    <sheetView showGridLines="0" workbookViewId="0">
      <selection activeCell="A1" sqref="A1"/>
    </sheetView>
  </sheetViews>
  <sheetFormatPr baseColWidth="8" defaultRowHeight="15"/>
  <cols>
    <col width="9" customWidth="1" min="1" max="1"/>
    <col width="46" customWidth="1" min="2" max="2"/>
    <col width="13" customWidth="1" min="3" max="3"/>
    <col width="13" customWidth="1" min="4" max="4"/>
    <col width="13" customWidth="1" min="5" max="5"/>
    <col width="13" customWidth="1" min="6" max="6"/>
    <col width="13" customWidth="1" min="7" max="7"/>
    <col width="40" customWidth="1" min="8" max="8"/>
  </cols>
  <sheetData>
    <row r="1"/>
    <row r="2" ht="21" customHeight="1">
      <c r="B2" s="44" t="inlineStr">
        <is>
          <t>‹Gesellschaft› – Key Financials 2021–2025</t>
        </is>
      </c>
      <c r="C2" s="44" t="n"/>
      <c r="D2" s="44" t="n"/>
      <c r="E2" s="44" t="n"/>
      <c r="F2" s="44" t="n"/>
      <c r="G2" s="44" t="n"/>
    </row>
    <row r="3">
      <c r="B3" s="4" t="inlineStr">
        <is>
          <t>Mio. EUR / % / x</t>
        </is>
      </c>
      <c r="C3" s="6">
        <f>Cover!$C$24</f>
        <v/>
      </c>
      <c r="D3" s="6">
        <f>C3+1</f>
        <v/>
      </c>
      <c r="E3" s="6">
        <f>D3+1</f>
        <v/>
      </c>
      <c r="F3" s="6">
        <f>E3+1</f>
        <v/>
      </c>
      <c r="G3" s="6">
        <f>F3+1</f>
        <v/>
      </c>
    </row>
    <row r="4"/>
    <row r="5">
      <c r="B5" s="7" t="inlineStr">
        <is>
          <t>Umsatzerlöse</t>
        </is>
      </c>
      <c r="C5" s="29">
        <f>'GES GuV'!C5</f>
        <v/>
      </c>
      <c r="D5" s="29">
        <f>'GES GuV'!D5</f>
        <v/>
      </c>
      <c r="E5" s="29">
        <f>'GES GuV'!E5</f>
        <v/>
      </c>
      <c r="F5" s="29">
        <f>'GES GuV'!F5</f>
        <v/>
      </c>
      <c r="G5" s="29">
        <f>'GES GuV'!G5</f>
        <v/>
      </c>
    </row>
    <row r="6">
      <c r="B6" s="8" t="inlineStr">
        <is>
          <t>Gesamtleistung</t>
        </is>
      </c>
      <c r="C6" s="50">
        <f>'GES GuV'!C5+'GES GuV'!C6+'GES GuV'!C7</f>
        <v/>
      </c>
      <c r="D6" s="50">
        <f>'GES GuV'!D5+'GES GuV'!D6+'GES GuV'!D7</f>
        <v/>
      </c>
      <c r="E6" s="50">
        <f>'GES GuV'!E5+'GES GuV'!E6+'GES GuV'!E7</f>
        <v/>
      </c>
      <c r="F6" s="50">
        <f>'GES GuV'!F5+'GES GuV'!F6+'GES GuV'!F7</f>
        <v/>
      </c>
      <c r="G6" s="50">
        <f>'GES GuV'!G5+'GES GuV'!G6+'GES GuV'!G7</f>
        <v/>
      </c>
    </row>
    <row r="7">
      <c r="B7" s="8" t="inlineStr">
        <is>
          <t>Rohertrag</t>
        </is>
      </c>
      <c r="C7" s="50">
        <f>C6-'GES GuV'!C9</f>
        <v/>
      </c>
      <c r="D7" s="50">
        <f>D6-'GES GuV'!D9</f>
        <v/>
      </c>
      <c r="E7" s="50">
        <f>E6-'GES GuV'!E9</f>
        <v/>
      </c>
      <c r="F7" s="50">
        <f>F6-'GES GuV'!F9</f>
        <v/>
      </c>
      <c r="G7" s="50">
        <f>G6-'GES GuV'!G9</f>
        <v/>
      </c>
    </row>
    <row r="8">
      <c r="B8" s="30" t="inlineStr">
        <is>
          <t>(%) Rohertragsmarge</t>
        </is>
      </c>
      <c r="C8" s="51">
        <f>IFERROR(C7/C6,0)</f>
        <v/>
      </c>
      <c r="D8" s="51">
        <f>IFERROR(D7/D6,0)</f>
        <v/>
      </c>
      <c r="E8" s="51">
        <f>IFERROR(E7/E6,0)</f>
        <v/>
      </c>
      <c r="F8" s="51">
        <f>IFERROR(F7/F6,0)</f>
        <v/>
      </c>
      <c r="G8" s="51">
        <f>IFERROR(G7/G6,0)</f>
        <v/>
      </c>
    </row>
    <row r="9"/>
    <row r="10">
      <c r="B10" s="7" t="inlineStr">
        <is>
          <t>EBITDA</t>
        </is>
      </c>
      <c r="C10" s="32">
        <f>C11+'GES GuV'!C11</f>
        <v/>
      </c>
      <c r="D10" s="32">
        <f>D11+'GES GuV'!D11</f>
        <v/>
      </c>
      <c r="E10" s="32">
        <f>E11+'GES GuV'!E11</f>
        <v/>
      </c>
      <c r="F10" s="32">
        <f>F11+'GES GuV'!F11</f>
        <v/>
      </c>
      <c r="G10" s="32">
        <f>G11+'GES GuV'!G11</f>
        <v/>
      </c>
    </row>
    <row r="11">
      <c r="B11" s="7" t="inlineStr">
        <is>
          <t>EBIT / Betriebliches Ergebnis</t>
        </is>
      </c>
      <c r="C11" s="29">
        <f>'GES GuV'!C13</f>
        <v/>
      </c>
      <c r="D11" s="29">
        <f>'GES GuV'!D13</f>
        <v/>
      </c>
      <c r="E11" s="29">
        <f>'GES GuV'!E13</f>
        <v/>
      </c>
      <c r="F11" s="29">
        <f>'GES GuV'!F13</f>
        <v/>
      </c>
      <c r="G11" s="29">
        <f>'GES GuV'!G13</f>
        <v/>
      </c>
    </row>
    <row r="12">
      <c r="B12" s="8" t="inlineStr">
        <is>
          <t>Beteiligungsergebnis</t>
        </is>
      </c>
      <c r="C12" s="24">
        <f>'GES GuV'!C15</f>
        <v/>
      </c>
      <c r="D12" s="24">
        <f>'GES GuV'!D15</f>
        <v/>
      </c>
      <c r="E12" s="24">
        <f>'GES GuV'!E15</f>
        <v/>
      </c>
      <c r="F12" s="24">
        <f>'GES GuV'!F15</f>
        <v/>
      </c>
      <c r="G12" s="24">
        <f>'GES GuV'!G15</f>
        <v/>
      </c>
    </row>
    <row r="13">
      <c r="B13" s="8" t="inlineStr">
        <is>
          <t>Zinsergebnis</t>
        </is>
      </c>
      <c r="C13" s="24">
        <f>'GES GuV'!C17</f>
        <v/>
      </c>
      <c r="D13" s="24">
        <f>'GES GuV'!D17</f>
        <v/>
      </c>
      <c r="E13" s="24">
        <f>'GES GuV'!E17</f>
        <v/>
      </c>
      <c r="F13" s="24">
        <f>'GES GuV'!F17</f>
        <v/>
      </c>
      <c r="G13" s="24">
        <f>'GES GuV'!G17</f>
        <v/>
      </c>
    </row>
    <row r="14">
      <c r="B14" s="7" t="inlineStr">
        <is>
          <t>Ergebnis vor Steuern</t>
        </is>
      </c>
      <c r="C14" s="29">
        <f>'GES GuV'!C18</f>
        <v/>
      </c>
      <c r="D14" s="29">
        <f>'GES GuV'!D18</f>
        <v/>
      </c>
      <c r="E14" s="29">
        <f>'GES GuV'!E18</f>
        <v/>
      </c>
      <c r="F14" s="29">
        <f>'GES GuV'!F18</f>
        <v/>
      </c>
      <c r="G14" s="29">
        <f>'GES GuV'!G18</f>
        <v/>
      </c>
    </row>
    <row r="15">
      <c r="B15" s="19" t="inlineStr">
        <is>
          <t>Jahresüberschuss</t>
        </is>
      </c>
      <c r="C15" s="20">
        <f>'GES GuV'!C24</f>
        <v/>
      </c>
      <c r="D15" s="20">
        <f>'GES GuV'!D24</f>
        <v/>
      </c>
      <c r="E15" s="20">
        <f>'GES GuV'!E24</f>
        <v/>
      </c>
      <c r="F15" s="20">
        <f>'GES GuV'!F24</f>
        <v/>
      </c>
      <c r="G15" s="20">
        <f>'GES GuV'!G24</f>
        <v/>
      </c>
    </row>
    <row r="16"/>
    <row r="17">
      <c r="B17" s="8" t="inlineStr">
        <is>
          <t>OCF – Operating Cash Flow</t>
        </is>
      </c>
      <c r="C17" s="24">
        <f>'GES Cashflow'!C5</f>
        <v/>
      </c>
      <c r="D17" s="24">
        <f>'GES Cashflow'!D5</f>
        <v/>
      </c>
      <c r="E17" s="24">
        <f>'GES Cashflow'!E5</f>
        <v/>
      </c>
      <c r="F17" s="24">
        <f>'GES Cashflow'!F5</f>
        <v/>
      </c>
      <c r="G17" s="24">
        <f>'GES Cashflow'!G5</f>
        <v/>
      </c>
    </row>
    <row r="18">
      <c r="B18" s="8" t="inlineStr">
        <is>
          <t>ICF – Investing Cash Flow</t>
        </is>
      </c>
      <c r="C18" s="24">
        <f>'GES Cashflow'!C6</f>
        <v/>
      </c>
      <c r="D18" s="24">
        <f>'GES Cashflow'!D6</f>
        <v/>
      </c>
      <c r="E18" s="24">
        <f>'GES Cashflow'!E6</f>
        <v/>
      </c>
      <c r="F18" s="24">
        <f>'GES Cashflow'!F6</f>
        <v/>
      </c>
      <c r="G18" s="24">
        <f>'GES Cashflow'!G6</f>
        <v/>
      </c>
    </row>
    <row r="19">
      <c r="B19" s="8" t="inlineStr">
        <is>
          <t>FCF – Financing Cash Flow</t>
        </is>
      </c>
      <c r="C19" s="24">
        <f>'GES Cashflow'!C7</f>
        <v/>
      </c>
      <c r="D19" s="24">
        <f>'GES Cashflow'!D7</f>
        <v/>
      </c>
      <c r="E19" s="24">
        <f>'GES Cashflow'!E7</f>
        <v/>
      </c>
      <c r="F19" s="24">
        <f>'GES Cashflow'!F7</f>
        <v/>
      </c>
      <c r="G19" s="24">
        <f>'GES Cashflow'!G7</f>
        <v/>
      </c>
    </row>
    <row r="20">
      <c r="B20" s="19" t="inlineStr">
        <is>
          <t>FFCF – Free Cash Flow (OCF + ICF)</t>
        </is>
      </c>
      <c r="C20" s="52">
        <f>C17+C18</f>
        <v/>
      </c>
      <c r="D20" s="52">
        <f>D17+D18</f>
        <v/>
      </c>
      <c r="E20" s="52">
        <f>E17+E18</f>
        <v/>
      </c>
      <c r="F20" s="52">
        <f>F17+F18</f>
        <v/>
      </c>
      <c r="G20" s="52">
        <f>G17+G18</f>
        <v/>
      </c>
    </row>
    <row r="21"/>
    <row r="22">
      <c r="B22" s="8" t="inlineStr">
        <is>
          <t>Bilanzsumme</t>
        </is>
      </c>
      <c r="C22" s="24">
        <f>'GES Bilanz'!C17</f>
        <v/>
      </c>
      <c r="D22" s="24">
        <f>'GES Bilanz'!D17</f>
        <v/>
      </c>
      <c r="E22" s="24">
        <f>'GES Bilanz'!E17</f>
        <v/>
      </c>
      <c r="F22" s="24">
        <f>'GES Bilanz'!F17</f>
        <v/>
      </c>
      <c r="G22" s="24">
        <f>'GES Bilanz'!G17</f>
        <v/>
      </c>
    </row>
    <row r="23">
      <c r="B23" s="8" t="inlineStr">
        <is>
          <t>Eigenkapital</t>
        </is>
      </c>
      <c r="C23" s="24">
        <f>'GES Bilanz'!C20</f>
        <v/>
      </c>
      <c r="D23" s="24">
        <f>'GES Bilanz'!D20</f>
        <v/>
      </c>
      <c r="E23" s="24">
        <f>'GES Bilanz'!E20</f>
        <v/>
      </c>
      <c r="F23" s="24">
        <f>'GES Bilanz'!F20</f>
        <v/>
      </c>
      <c r="G23" s="24">
        <f>'GES Bilanz'!G20</f>
        <v/>
      </c>
    </row>
    <row r="24">
      <c r="B24" s="7" t="inlineStr">
        <is>
          <t>(%) Eigenkapitalquote</t>
        </is>
      </c>
      <c r="C24" s="53">
        <f>IFERROR(C23/C22,0)</f>
        <v/>
      </c>
      <c r="D24" s="53">
        <f>IFERROR(D23/D22,0)</f>
        <v/>
      </c>
      <c r="E24" s="53">
        <f>IFERROR(E23/E22,0)</f>
        <v/>
      </c>
      <c r="F24" s="53">
        <f>IFERROR(F23/F22,0)</f>
        <v/>
      </c>
      <c r="G24" s="53">
        <f>IFERROR(G23/G22,0)</f>
        <v/>
      </c>
    </row>
    <row r="25">
      <c r="B25" s="8" t="inlineStr">
        <is>
          <t>(%) Anlagenintensität</t>
        </is>
      </c>
      <c r="C25" s="41">
        <f>IFERROR('GES Bilanz'!C6/C22,0)</f>
        <v/>
      </c>
      <c r="D25" s="41">
        <f>IFERROR('GES Bilanz'!D6/D22,0)</f>
        <v/>
      </c>
      <c r="E25" s="41">
        <f>IFERROR('GES Bilanz'!E6/E22,0)</f>
        <v/>
      </c>
      <c r="F25" s="41">
        <f>IFERROR('GES Bilanz'!F6/F22,0)</f>
        <v/>
      </c>
      <c r="G25" s="41">
        <f>IFERROR('GES Bilanz'!G6/G22,0)</f>
        <v/>
      </c>
    </row>
    <row r="26">
      <c r="B26" s="30" t="inlineStr">
        <is>
          <t>(%) Umsatzrendite</t>
        </is>
      </c>
      <c r="C26" s="51">
        <f>IFERROR(C15/C5,0)</f>
        <v/>
      </c>
      <c r="D26" s="51">
        <f>IFERROR(D15/D5,0)</f>
        <v/>
      </c>
      <c r="E26" s="51">
        <f>IFERROR(E15/E5,0)</f>
        <v/>
      </c>
      <c r="F26" s="51">
        <f>IFERROR(F15/F5,0)</f>
        <v/>
      </c>
      <c r="G26" s="51">
        <f>IFERROR(G15/G5,0)</f>
        <v/>
      </c>
    </row>
    <row r="27">
      <c r="B27" s="8" t="inlineStr">
        <is>
          <t>(-) Kassenbestand</t>
        </is>
      </c>
      <c r="C27" s="24">
        <f>'GES Bilanz'!C14</f>
        <v/>
      </c>
      <c r="D27" s="24">
        <f>'GES Bilanz'!D14</f>
        <v/>
      </c>
      <c r="E27" s="24">
        <f>'GES Bilanz'!E14</f>
        <v/>
      </c>
      <c r="F27" s="24">
        <f>'GES Bilanz'!F14</f>
        <v/>
      </c>
      <c r="G27" s="24">
        <f>'GES Bilanz'!G14</f>
        <v/>
      </c>
    </row>
    <row r="28">
      <c r="B28" s="8" t="inlineStr">
        <is>
          <t>(+) Verbindlichkeiten gegenüber Kreditinstituten</t>
        </is>
      </c>
      <c r="C28" s="24">
        <f>'GES Bilanz'!C29</f>
        <v/>
      </c>
      <c r="D28" s="24">
        <f>'GES Bilanz'!D29</f>
        <v/>
      </c>
      <c r="E28" s="24">
        <f>'GES Bilanz'!E29</f>
        <v/>
      </c>
      <c r="F28" s="24">
        <f>'GES Bilanz'!F29</f>
        <v/>
      </c>
      <c r="G28" s="24">
        <f>'GES Bilanz'!G29</f>
        <v/>
      </c>
    </row>
    <row r="29">
      <c r="B29" s="7" t="inlineStr">
        <is>
          <t>Net Debt</t>
        </is>
      </c>
      <c r="C29" s="32">
        <f>C28-C27</f>
        <v/>
      </c>
      <c r="D29" s="32">
        <f>D28-D27</f>
        <v/>
      </c>
      <c r="E29" s="32">
        <f>E28-E27</f>
        <v/>
      </c>
      <c r="F29" s="32">
        <f>F28-F27</f>
        <v/>
      </c>
      <c r="G29" s="32">
        <f>G28-G27</f>
        <v/>
      </c>
    </row>
    <row r="30">
      <c r="B30" s="19" t="inlineStr">
        <is>
          <t>Net Debt / EBITDA</t>
        </is>
      </c>
      <c r="C30" s="54">
        <f>IFERROR(C29/C10,0)</f>
        <v/>
      </c>
      <c r="D30" s="54">
        <f>IFERROR(D29/D10,0)</f>
        <v/>
      </c>
      <c r="E30" s="54">
        <f>IFERROR(E29/E10,0)</f>
        <v/>
      </c>
      <c r="F30" s="54">
        <f>IFERROR(F29/F10,0)</f>
        <v/>
      </c>
      <c r="G30" s="54">
        <f>IFERROR(G29/G10,0)</f>
        <v/>
      </c>
    </row>
    <row r="31"/>
    <row r="32">
      <c r="B32" s="7" t="inlineStr">
        <is>
          <t>Capex (Gesamtinvestitionen inkl. Finanzanlagen)</t>
        </is>
      </c>
      <c r="C32" s="29">
        <f>'GES Capex Revenue'!C14</f>
        <v/>
      </c>
      <c r="D32" s="29">
        <f>'GES Capex Revenue'!D14</f>
        <v/>
      </c>
      <c r="E32" s="29">
        <f>'GES Capex Revenue'!E14</f>
        <v/>
      </c>
      <c r="F32" s="29">
        <f>'GES Capex Revenue'!F14</f>
        <v/>
      </c>
      <c r="G32" s="29">
        <f>'GES Capex Revenue'!G14</f>
        <v/>
      </c>
    </row>
    <row r="33">
      <c r="B33" s="30" t="inlineStr">
        <is>
          <t>(%) Capex / Umsatzerlöse</t>
        </is>
      </c>
      <c r="C33" s="51">
        <f>IFERROR(C32/C5,0)</f>
        <v/>
      </c>
      <c r="D33" s="51">
        <f>IFERROR(D32/D5,0)</f>
        <v/>
      </c>
      <c r="E33" s="51">
        <f>IFERROR(E32/E5,0)</f>
        <v/>
      </c>
      <c r="F33" s="51">
        <f>IFERROR(F32/F5,0)</f>
        <v/>
      </c>
      <c r="G33" s="51">
        <f>IFERROR(G32/G5,0)</f>
        <v/>
      </c>
    </row>
    <row r="34"/>
    <row r="35">
      <c r="B35" s="4" t="inlineStr">
        <is>
          <t>Absatzmengen</t>
        </is>
      </c>
      <c r="C35" s="6">
        <f>C3</f>
        <v/>
      </c>
      <c r="D35" s="6">
        <f>D3</f>
        <v/>
      </c>
      <c r="E35" s="6">
        <f>E3</f>
        <v/>
      </c>
      <c r="F35" s="6">
        <f>F3</f>
        <v/>
      </c>
      <c r="G35" s="6">
        <f>G3</f>
        <v/>
      </c>
    </row>
    <row r="36">
      <c r="B36" s="8" t="inlineStr">
        <is>
          <t>Absatzmengen (aus Capex Revenue)</t>
        </is>
      </c>
      <c r="C36" s="55">
        <f>'GES Capex Revenue'!C18</f>
        <v/>
      </c>
      <c r="D36" s="55">
        <f>'GES Capex Revenue'!D18</f>
        <v/>
      </c>
      <c r="E36" s="55">
        <f>'GES Capex Revenue'!E18</f>
        <v/>
      </c>
      <c r="F36" s="55">
        <f>'GES Capex Revenue'!F18</f>
        <v/>
      </c>
      <c r="G36" s="55">
        <f>'GES Capex Revenue'!G18</f>
        <v/>
      </c>
    </row>
    <row r="37">
      <c r="B37" s="8" t="inlineStr">
        <is>
          <t>Gas (Mio. kWh)</t>
        </is>
      </c>
      <c r="C37" s="55">
        <f>'GES Capex Revenue'!C19</f>
        <v/>
      </c>
      <c r="D37" s="55">
        <f>'GES Capex Revenue'!D19</f>
        <v/>
      </c>
      <c r="E37" s="55">
        <f>'GES Capex Revenue'!E19</f>
        <v/>
      </c>
      <c r="F37" s="55">
        <f>'GES Capex Revenue'!F19</f>
        <v/>
      </c>
      <c r="G37" s="55">
        <f>'GES Capex Revenue'!G19</f>
        <v/>
      </c>
    </row>
    <row r="38">
      <c r="B38" s="8" t="inlineStr">
        <is>
          <t>Wärme / Kälte (Mio. kWh)</t>
        </is>
      </c>
      <c r="C38" s="55">
        <f>'GES Capex Revenue'!C20</f>
        <v/>
      </c>
      <c r="D38" s="55">
        <f>'GES Capex Revenue'!D20</f>
        <v/>
      </c>
      <c r="E38" s="55">
        <f>'GES Capex Revenue'!E20</f>
        <v/>
      </c>
      <c r="F38" s="55">
        <f>'GES Capex Revenue'!F20</f>
        <v/>
      </c>
      <c r="G38" s="55">
        <f>'GES Capex Revenue'!G20</f>
        <v/>
      </c>
    </row>
    <row r="39">
      <c r="B39" s="8" t="inlineStr">
        <is>
          <t>Wassernetz (Mio. m³)</t>
        </is>
      </c>
      <c r="C39" s="24">
        <f>'GES Capex Revenue'!C21</f>
        <v/>
      </c>
      <c r="D39" s="24">
        <f>'GES Capex Revenue'!D21</f>
        <v/>
      </c>
      <c r="E39" s="24">
        <f>'GES Capex Revenue'!E21</f>
        <v/>
      </c>
      <c r="F39" s="24">
        <f>'GES Capex Revenue'!F21</f>
        <v/>
      </c>
      <c r="G39" s="24">
        <f>'GES Capex Revenue'!G21</f>
        <v/>
      </c>
    </row>
    <row r="40"/>
    <row r="41">
      <c r="B41" s="14" t="inlineStr">
        <is>
          <t>Basisdefinitionen dieses Blattes: Rohertrag = Gesamtleistung − Materialaufwand; Net Debt (Zeile 29) = Verbindlichkeiten gegenüber Kreditinstituten − Kassenbestand (Stufe 3). Die Definitionen nach Einheit und Datenlage stehen ab Zeile 44; die Folien verwenden die Zeilen 'für Folie'.</t>
        </is>
      </c>
    </row>
    <row r="42"/>
    <row r="43"/>
    <row r="44">
      <c r="B44" s="9" t="inlineStr">
        <is>
          <t>Definitionen nach Einheit (Schalter, blau)</t>
        </is>
      </c>
    </row>
    <row r="45">
      <c r="B45" s="77" t="inlineStr">
        <is>
          <t>Einheit: 1 = Einzelabschluss (Beteiligungsergebnis operativ), 2 = Konzernabschluss</t>
        </is>
      </c>
      <c r="C45" s="78" t="n">
        <v>1</v>
      </c>
      <c r="D45" s="79" t="inlineStr">
        <is>
          <t>siehe references/financial-model.md, Abschnitt 3</t>
        </is>
      </c>
    </row>
    <row r="46"/>
    <row r="47">
      <c r="B47" s="77" t="inlineStr">
        <is>
          <t>EBIT Einzelabschluss = Betriebsergebnis + Beteiligungsergebnis − Abschreibungen auf Finanzanlagen</t>
        </is>
      </c>
      <c r="C47" s="80">
        <f>'GES GuV'!C13+'GES GuV'!C15-'GES GuV'!C16</f>
        <v/>
      </c>
      <c r="D47" s="80">
        <f>'GES GuV'!D13+'GES GuV'!D15-'GES GuV'!D16</f>
        <v/>
      </c>
      <c r="E47" s="80">
        <f>'GES GuV'!E13+'GES GuV'!E15-'GES GuV'!E16</f>
        <v/>
      </c>
      <c r="F47" s="80">
        <f>'GES GuV'!F13+'GES GuV'!F15-'GES GuV'!F16</f>
        <v/>
      </c>
      <c r="G47" s="80">
        <f>'GES GuV'!G13+'GES GuV'!G15-'GES GuV'!G16</f>
        <v/>
      </c>
    </row>
    <row r="48">
      <c r="B48" s="77" t="inlineStr">
        <is>
          <t>EBITDA Einzelabschluss = EBIT + Abschreibungen + Abschreibungen auf Finanzanlagen</t>
        </is>
      </c>
      <c r="C48" s="80">
        <f>C47+'GES GuV'!C11+'GES GuV'!C16</f>
        <v/>
      </c>
      <c r="D48" s="80">
        <f>D47+'GES GuV'!D11+'GES GuV'!D16</f>
        <v/>
      </c>
      <c r="E48" s="80">
        <f>E47+'GES GuV'!E11+'GES GuV'!E16</f>
        <v/>
      </c>
      <c r="F48" s="80">
        <f>F47+'GES GuV'!F11+'GES GuV'!F16</f>
        <v/>
      </c>
      <c r="G48" s="80">
        <f>G47+'GES GuV'!G11+'GES GuV'!G16</f>
        <v/>
      </c>
    </row>
    <row r="49">
      <c r="B49" s="77" t="inlineStr">
        <is>
          <t>EBIT Konzern = Betriebsergebnis</t>
        </is>
      </c>
      <c r="C49" s="80">
        <f>'GES GuV'!C13</f>
        <v/>
      </c>
      <c r="D49" s="80">
        <f>'GES GuV'!D13</f>
        <v/>
      </c>
      <c r="E49" s="80">
        <f>'GES GuV'!E13</f>
        <v/>
      </c>
      <c r="F49" s="80">
        <f>'GES GuV'!F13</f>
        <v/>
      </c>
      <c r="G49" s="80">
        <f>'GES GuV'!G13</f>
        <v/>
      </c>
    </row>
    <row r="50">
      <c r="B50" s="77" t="inlineStr">
        <is>
          <t>EBITDA Konzern = EBIT + Abschreibungen</t>
        </is>
      </c>
      <c r="C50" s="80">
        <f>C49+'GES GuV'!C11</f>
        <v/>
      </c>
      <c r="D50" s="80">
        <f>D49+'GES GuV'!D11</f>
        <v/>
      </c>
      <c r="E50" s="80">
        <f>E49+'GES GuV'!E11</f>
        <v/>
      </c>
      <c r="F50" s="80">
        <f>F49+'GES GuV'!F11</f>
        <v/>
      </c>
      <c r="G50" s="80">
        <f>G49+'GES GuV'!G11</f>
        <v/>
      </c>
    </row>
    <row r="51">
      <c r="B51" s="9" t="inlineStr">
        <is>
          <t>EBIT für Folie</t>
        </is>
      </c>
      <c r="C51" s="81">
        <f>IF($C$45=1,C47,C49)</f>
        <v/>
      </c>
      <c r="D51" s="81">
        <f>IF($C$45=1,D47,D49)</f>
        <v/>
      </c>
      <c r="E51" s="81">
        <f>IF($C$45=1,E47,E49)</f>
        <v/>
      </c>
      <c r="F51" s="81">
        <f>IF($C$45=1,F47,F49)</f>
        <v/>
      </c>
      <c r="G51" s="81">
        <f>IF($C$45=1,G47,G49)</f>
        <v/>
      </c>
    </row>
    <row r="52">
      <c r="B52" s="9" t="inlineStr">
        <is>
          <t>EBITDA für Folie</t>
        </is>
      </c>
      <c r="C52" s="81">
        <f>IF($C$45=1,C48,C50)</f>
        <v/>
      </c>
      <c r="D52" s="81">
        <f>IF($C$45=1,D48,D50)</f>
        <v/>
      </c>
      <c r="E52" s="81">
        <f>IF($C$45=1,E48,E50)</f>
        <v/>
      </c>
      <c r="F52" s="81">
        <f>IF($C$45=1,F48,F50)</f>
        <v/>
      </c>
      <c r="G52" s="81">
        <f>IF($C$45=1,G48,G50)</f>
        <v/>
      </c>
    </row>
    <row r="53">
      <c r="B53" s="77" t="inlineStr">
        <is>
          <t>(%) EBITDA-Marge (EBITDA / Umsatzerlöse)</t>
        </is>
      </c>
      <c r="C53" s="82">
        <f>IFERROR(C52/C5,0)</f>
        <v/>
      </c>
      <c r="D53" s="82">
        <f>IFERROR(D52/D5,0)</f>
        <v/>
      </c>
      <c r="E53" s="82">
        <f>IFERROR(E52/E5,0)</f>
        <v/>
      </c>
      <c r="F53" s="82">
        <f>IFERROR(F52/F5,0)</f>
        <v/>
      </c>
      <c r="G53" s="82">
        <f>IFERROR(G52/G5,0)</f>
        <v/>
      </c>
    </row>
    <row r="54">
      <c r="B54" s="77" t="inlineStr">
        <is>
          <t>EAT = Ergebnis nach Steuern vor Ausgleichszahlung und Gewinnabführung</t>
        </is>
      </c>
      <c r="C54" s="80">
        <f>'GES GuV'!C24</f>
        <v/>
      </c>
      <c r="D54" s="80">
        <f>'GES GuV'!D24</f>
        <v/>
      </c>
      <c r="E54" s="80">
        <f>'GES GuV'!E24</f>
        <v/>
      </c>
      <c r="F54" s="80">
        <f>'GES GuV'!F24</f>
        <v/>
      </c>
      <c r="G54" s="80">
        <f>'GES GuV'!G24</f>
        <v/>
      </c>
    </row>
    <row r="55"/>
    <row r="56">
      <c r="B56" s="9" t="inlineStr">
        <is>
          <t>Net Debt nach Datenlage (Stufe, blau)</t>
        </is>
      </c>
    </row>
    <row r="57">
      <c r="B57" s="77" t="inlineStr">
        <is>
          <t>Net-Debt-Stufe: 1 = voll, 2 = mittel (Banken + Pensionen − Kasse), 3 = kurz (Banken − Kasse)</t>
        </is>
      </c>
      <c r="C57" s="78" t="n">
        <v>3</v>
      </c>
      <c r="D57" s="79" t="inlineStr">
        <is>
          <t>Stufe 1 nur, wenn Pensionen und Verbundsalden im Anhang ausgewiesen sind</t>
        </is>
      </c>
    </row>
    <row r="58">
      <c r="B58" s="77" t="inlineStr">
        <is>
          <t>(+) Pensionsrückstellungen (Anhang, Rückstellungsspiegel)</t>
        </is>
      </c>
      <c r="C58" s="83" t="n"/>
      <c r="D58" s="83" t="n"/>
      <c r="E58" s="83" t="n"/>
      <c r="F58" s="83" t="n"/>
      <c r="G58" s="83" t="n"/>
    </row>
    <row r="59">
      <c r="B59" s="77" t="inlineStr">
        <is>
          <t>(+) Verbindlichkeiten gegenüber verbundenen / assoziierten Unternehmen (Anhang)</t>
        </is>
      </c>
      <c r="C59" s="83" t="n"/>
      <c r="D59" s="83" t="n"/>
      <c r="E59" s="83" t="n"/>
      <c r="F59" s="83" t="n"/>
      <c r="G59" s="83" t="n"/>
    </row>
    <row r="60">
      <c r="B60" s="77" t="inlineStr">
        <is>
          <t>(−) Forderungen gegen verbundene / assoziierte Unternehmen (Anhang)</t>
        </is>
      </c>
      <c r="C60" s="83" t="n"/>
      <c r="D60" s="83" t="n"/>
      <c r="E60" s="83" t="n"/>
      <c r="F60" s="83" t="n"/>
      <c r="G60" s="83" t="n"/>
    </row>
    <row r="61">
      <c r="B61" s="77" t="inlineStr">
        <is>
          <t>Net Debt Stufe 1</t>
        </is>
      </c>
      <c r="C61" s="81">
        <f>C28+N(C58)+N(C59)-C27-N(C60)</f>
        <v/>
      </c>
      <c r="D61" s="81">
        <f>D28+N(D58)+N(D59)-D27-N(D60)</f>
        <v/>
      </c>
      <c r="E61" s="81">
        <f>E28+N(E58)+N(E59)-E27-N(E60)</f>
        <v/>
      </c>
      <c r="F61" s="81">
        <f>F28+N(F58)+N(F59)-F27-N(F60)</f>
        <v/>
      </c>
      <c r="G61" s="81">
        <f>G28+N(G58)+N(G59)-G27-N(G60)</f>
        <v/>
      </c>
    </row>
    <row r="62">
      <c r="B62" s="77" t="inlineStr">
        <is>
          <t>Net Debt Stufe 2</t>
        </is>
      </c>
      <c r="C62" s="81">
        <f>C28+N(C58)-C27</f>
        <v/>
      </c>
      <c r="D62" s="81">
        <f>D28+N(D58)-D27</f>
        <v/>
      </c>
      <c r="E62" s="81">
        <f>E28+N(E58)-E27</f>
        <v/>
      </c>
      <c r="F62" s="81">
        <f>F28+N(F58)-F27</f>
        <v/>
      </c>
      <c r="G62" s="81">
        <f>G28+N(G58)-G27</f>
        <v/>
      </c>
    </row>
    <row r="63">
      <c r="B63" s="77" t="inlineStr">
        <is>
          <t>Net Debt Stufe 3</t>
        </is>
      </c>
      <c r="C63" s="81">
        <f>C28-C27</f>
        <v/>
      </c>
      <c r="D63" s="81">
        <f>D28-D27</f>
        <v/>
      </c>
      <c r="E63" s="81">
        <f>E28-E27</f>
        <v/>
      </c>
      <c r="F63" s="81">
        <f>F28-F27</f>
        <v/>
      </c>
      <c r="G63" s="81">
        <f>G28-G27</f>
        <v/>
      </c>
    </row>
    <row r="64">
      <c r="B64" s="9" t="inlineStr">
        <is>
          <t>Net Debt für Folie</t>
        </is>
      </c>
      <c r="C64" s="81">
        <f>CHOOSE($C$57,C61,C62,C63)</f>
        <v/>
      </c>
      <c r="D64" s="81">
        <f>CHOOSE($C$57,D61,D62,D63)</f>
        <v/>
      </c>
      <c r="E64" s="81">
        <f>CHOOSE($C$57,E61,E62,E63)</f>
        <v/>
      </c>
      <c r="F64" s="81">
        <f>CHOOSE($C$57,F61,F62,F63)</f>
        <v/>
      </c>
      <c r="G64" s="81">
        <f>CHOOSE($C$57,G61,G62,G63)</f>
        <v/>
      </c>
    </row>
    <row r="65">
      <c r="B65" s="9" t="inlineStr">
        <is>
          <t>Net Debt / EBITDA für Folie (n. m. bei EBITDA ≤ 0)</t>
        </is>
      </c>
      <c r="C65" s="84">
        <f>IF(C52&lt;=0,"n. m.",C64/C52)</f>
        <v/>
      </c>
      <c r="D65" s="84">
        <f>IF(D52&lt;=0,"n. m.",D64/D52)</f>
        <v/>
      </c>
      <c r="E65" s="84">
        <f>IF(E52&lt;=0,"n. m.",E64/E52)</f>
        <v/>
      </c>
      <c r="F65" s="84">
        <f>IF(F52&lt;=0,"n. m.",F64/F52)</f>
        <v/>
      </c>
      <c r="G65" s="84">
        <f>IF(G52&lt;=0,"n. m.",G64/G52)</f>
        <v/>
      </c>
    </row>
    <row r="66">
      <c r="B66" s="77" t="inlineStr">
        <is>
          <t>Total Cashflow (OCF + ICF + FCF)</t>
        </is>
      </c>
      <c r="C66" s="81">
        <f>C17+C18+C19</f>
        <v/>
      </c>
      <c r="D66" s="81">
        <f>D17+D18+D19</f>
        <v/>
      </c>
      <c r="E66" s="81">
        <f>E17+E18+E19</f>
        <v/>
      </c>
      <c r="F66" s="81">
        <f>F17+F18+F19</f>
        <v/>
      </c>
      <c r="G66" s="81">
        <f>G17+G18+G19</f>
        <v/>
      </c>
    </row>
    <row r="67">
      <c r="B67" s="77" t="inlineStr">
        <is>
          <t>CAGR Umsatzerlöse J1–J5</t>
        </is>
      </c>
      <c r="C67" s="82">
        <f>IFERROR((G5/C5)^(1/4)-1,0)</f>
        <v/>
      </c>
    </row>
    <row r="68"/>
    <row r="69">
      <c r="B69" s="9" t="inlineStr">
        <is>
          <t>Kachelgrößen außerhalb des Abschlusses (blau, Quelle in Spalte H)</t>
        </is>
      </c>
    </row>
    <row r="70">
      <c r="B70" s="77" t="inlineStr">
        <is>
          <t>Stromkunden (Anzahl) oder Stromabsatz (Mio. kWh)</t>
        </is>
      </c>
      <c r="C70" s="85" t="n"/>
      <c r="D70" s="85" t="n"/>
      <c r="E70" s="85" t="n"/>
      <c r="F70" s="85" t="n"/>
      <c r="G70" s="85" t="n"/>
      <c r="H70" s="79" t="inlineStr">
        <is>
          <t>Quelle:</t>
        </is>
      </c>
    </row>
    <row r="71">
      <c r="B71" s="77" t="inlineStr">
        <is>
          <t>Gaskunden (Anzahl) oder Gasabsatz (Mio. kWh)</t>
        </is>
      </c>
      <c r="C71" s="85" t="n"/>
      <c r="D71" s="85" t="n"/>
      <c r="E71" s="85" t="n"/>
      <c r="F71" s="85" t="n"/>
      <c r="G71" s="85" t="n"/>
      <c r="H71" s="79" t="inlineStr">
        <is>
          <t>Quelle:</t>
        </is>
      </c>
    </row>
    <row r="72">
      <c r="B72" s="77" t="inlineStr">
        <is>
          <t>Stromnetz (km, Bezugsgesellschaft in Spalte H)</t>
        </is>
      </c>
      <c r="C72" s="85" t="n"/>
      <c r="D72" s="85" t="n"/>
      <c r="E72" s="85" t="n"/>
      <c r="F72" s="85" t="n"/>
      <c r="G72" s="85" t="n"/>
      <c r="H72" s="79" t="inlineStr">
        <is>
          <t>Quelle:</t>
        </is>
      </c>
    </row>
    <row r="73">
      <c r="B73" s="77" t="inlineStr">
        <is>
          <t>Gasnetz (km, Bezugsgesellschaft in Spalte H)</t>
        </is>
      </c>
      <c r="C73" s="85" t="n"/>
      <c r="D73" s="85" t="n"/>
      <c r="E73" s="85" t="n"/>
      <c r="F73" s="85" t="n"/>
      <c r="G73" s="85" t="n"/>
      <c r="H73" s="79" t="inlineStr">
        <is>
          <t>Quelle:</t>
        </is>
      </c>
    </row>
    <row r="74">
      <c r="B74" s="77" t="inlineStr">
        <is>
          <t>Mitarbeiter (Ø Beschäftigte lt. Anhang; Website-Wert in Spalte H)</t>
        </is>
      </c>
      <c r="C74" s="85" t="n"/>
      <c r="D74" s="85" t="n"/>
      <c r="E74" s="85" t="n"/>
      <c r="F74" s="85" t="n"/>
      <c r="G74" s="85" t="n"/>
      <c r="H74" s="79" t="inlineStr">
        <is>
          <t>Quelle:</t>
        </is>
      </c>
    </row>
  </sheetData>
  <mergeCells count="1">
    <mergeCell ref="B41:G4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9"/>
  <sheetViews>
    <sheetView showGridLines="0" workbookViewId="0">
      <selection activeCell="A1" sqref="A1"/>
    </sheetView>
  </sheetViews>
  <sheetFormatPr baseColWidth="8" defaultRowHeight="15"/>
  <cols>
    <col width="9" customWidth="1" min="1" max="1"/>
    <col width="46" customWidth="1" min="2" max="2"/>
    <col width="13" customWidth="1" min="3" max="3"/>
    <col width="13" customWidth="1" min="4" max="4"/>
    <col width="13" customWidth="1" min="5" max="5"/>
    <col width="13" customWidth="1" min="6" max="6"/>
    <col width="13" customWidth="1" min="7" max="7"/>
    <col width="9" customWidth="1" min="8" max="8"/>
  </cols>
  <sheetData>
    <row r="1"/>
    <row r="2" ht="21" customHeight="1">
      <c r="B2" s="44" t="inlineStr">
        <is>
          <t>‹Gesellschaft› – Investitionen, Umsatzerlöse und Absatz 2021–2025</t>
        </is>
      </c>
      <c r="C2" s="44" t="n"/>
      <c r="D2" s="44" t="n"/>
      <c r="E2" s="44" t="n"/>
      <c r="F2" s="44" t="n"/>
      <c r="G2" s="44" t="n"/>
    </row>
    <row r="3">
      <c r="B3" s="4" t="inlineStr">
        <is>
          <t>Mio. EUR / Mio. kWh / Mio. m³</t>
        </is>
      </c>
      <c r="C3" s="6">
        <f>Cover!$C$24</f>
        <v/>
      </c>
      <c r="D3" s="6">
        <f>C3+1</f>
        <v/>
      </c>
      <c r="E3" s="6">
        <f>D3+1</f>
        <v/>
      </c>
      <c r="F3" s="6">
        <f>E3+1</f>
        <v/>
      </c>
      <c r="G3" s="6">
        <f>F3+1</f>
        <v/>
      </c>
    </row>
    <row r="4"/>
    <row r="5">
      <c r="B5" s="7" t="inlineStr">
        <is>
          <t>Investitionen nach Unternehmensbereichen</t>
        </is>
      </c>
    </row>
    <row r="6">
      <c r="B6" s="47" t="inlineStr">
        <is>
          <t>Stromversorgung</t>
        </is>
      </c>
      <c r="C6" s="48" t="n"/>
      <c r="D6" s="48" t="n"/>
      <c r="E6" s="48" t="n"/>
      <c r="F6" s="48" t="n"/>
      <c r="G6" s="48" t="n"/>
    </row>
    <row r="7">
      <c r="B7" s="47" t="inlineStr">
        <is>
          <t>Gasversorgung</t>
        </is>
      </c>
      <c r="C7" s="48" t="n"/>
      <c r="D7" s="48" t="n"/>
      <c r="E7" s="48" t="n"/>
      <c r="F7" s="48" t="n"/>
      <c r="G7" s="48" t="n"/>
    </row>
    <row r="8">
      <c r="B8" s="47" t="inlineStr">
        <is>
          <t>Wasserversorgung</t>
        </is>
      </c>
      <c r="C8" s="48" t="n"/>
      <c r="D8" s="48" t="n"/>
      <c r="E8" s="48" t="n"/>
      <c r="F8" s="48" t="n"/>
      <c r="G8" s="48" t="n"/>
    </row>
    <row r="9">
      <c r="B9" s="47" t="inlineStr">
        <is>
          <t>Wärmeversorgung</t>
        </is>
      </c>
      <c r="C9" s="48" t="n"/>
      <c r="D9" s="48" t="n"/>
      <c r="E9" s="48" t="n"/>
      <c r="F9" s="48" t="n"/>
      <c r="G9" s="48" t="n"/>
    </row>
    <row r="10">
      <c r="B10" s="47" t="inlineStr">
        <is>
          <t>Telekommunikation</t>
        </is>
      </c>
      <c r="C10" s="56" t="n"/>
      <c r="D10" s="56" t="n"/>
      <c r="E10" s="56" t="n"/>
      <c r="F10" s="48" t="n"/>
      <c r="G10" s="56" t="n"/>
    </row>
    <row r="11">
      <c r="B11" s="47" t="inlineStr">
        <is>
          <t>Sonstige Bereiche</t>
        </is>
      </c>
      <c r="C11" s="48" t="n"/>
      <c r="D11" s="48" t="n"/>
      <c r="E11" s="48" t="n"/>
      <c r="F11" s="48" t="n"/>
      <c r="G11" s="48" t="n"/>
    </row>
    <row r="12">
      <c r="B12" s="47" t="inlineStr">
        <is>
          <t>Gemeinsame Bereiche</t>
        </is>
      </c>
      <c r="C12" s="56" t="n"/>
      <c r="D12" s="48" t="n"/>
      <c r="E12" s="48" t="n"/>
      <c r="F12" s="48" t="n"/>
      <c r="G12" s="48" t="n"/>
    </row>
    <row r="13">
      <c r="B13" s="47" t="inlineStr">
        <is>
          <t>Beteiligungen (Finanzanlagen)</t>
        </is>
      </c>
      <c r="C13" s="48" t="n"/>
      <c r="D13" s="48" t="n"/>
      <c r="E13" s="48" t="n"/>
      <c r="F13" s="48" t="n"/>
      <c r="G13" s="48" t="n"/>
    </row>
    <row r="14">
      <c r="B14" s="39" t="inlineStr">
        <is>
          <t>Gesamtinvestitionen</t>
        </is>
      </c>
      <c r="C14" s="40">
        <f>SUM(C6:C13)</f>
        <v/>
      </c>
      <c r="D14" s="40">
        <f>SUM(D6:D13)</f>
        <v/>
      </c>
      <c r="E14" s="40">
        <f>SUM(E6:E13)</f>
        <v/>
      </c>
      <c r="F14" s="40">
        <f>SUM(F6:F13)</f>
        <v/>
      </c>
      <c r="G14" s="40">
        <f>SUM(G6:G13)</f>
        <v/>
      </c>
    </row>
    <row r="15"/>
    <row r="16">
      <c r="B16" s="7" t="inlineStr">
        <is>
          <t>Absatzmengen</t>
        </is>
      </c>
    </row>
    <row r="17"/>
    <row r="18">
      <c r="B18" s="47" t="inlineStr">
        <is>
          <t>Strom (Mio. kWh)</t>
        </is>
      </c>
      <c r="C18" s="57" t="n"/>
      <c r="D18" s="57" t="n"/>
      <c r="E18" s="57" t="n"/>
      <c r="F18" s="57" t="n"/>
      <c r="G18" s="57" t="n"/>
    </row>
    <row r="19">
      <c r="B19" s="47" t="inlineStr">
        <is>
          <t>Gas (Mio. kWh)</t>
        </is>
      </c>
      <c r="C19" s="57" t="n"/>
      <c r="D19" s="57" t="n"/>
      <c r="E19" s="57" t="n"/>
      <c r="F19" s="57" t="n"/>
      <c r="G19" s="57" t="n"/>
    </row>
    <row r="20">
      <c r="B20" s="47" t="inlineStr">
        <is>
          <t>Wärme / Kälte (Mio. kWh)</t>
        </is>
      </c>
      <c r="C20" s="57" t="n"/>
      <c r="D20" s="57" t="n"/>
      <c r="E20" s="57" t="n"/>
      <c r="F20" s="57" t="n"/>
      <c r="G20" s="57" t="n"/>
    </row>
    <row r="21">
      <c r="B21" s="47" t="inlineStr">
        <is>
          <t>Wassernetz (Mio. m³)</t>
        </is>
      </c>
      <c r="C21" s="48" t="n"/>
      <c r="D21" s="48" t="n"/>
      <c r="E21" s="48" t="n"/>
      <c r="F21" s="48" t="n"/>
      <c r="G21" s="48" t="n"/>
    </row>
    <row r="22"/>
    <row r="23">
      <c r="B23" s="7" t="inlineStr">
        <is>
          <t>Umsatzerlöse nach Unternehmensbereichen</t>
        </is>
      </c>
    </row>
    <row r="24">
      <c r="B24" s="47" t="inlineStr">
        <is>
          <t>Stromversorgung (inkl. Handelsgeschäfte)</t>
        </is>
      </c>
      <c r="C24" s="48" t="n"/>
      <c r="D24" s="48" t="n"/>
      <c r="E24" s="48" t="n"/>
      <c r="F24" s="48" t="n"/>
      <c r="G24" s="48" t="n"/>
    </row>
    <row r="25">
      <c r="B25" s="47" t="inlineStr">
        <is>
          <t>Gasversorgung (inkl. Handelsgeschäfte)</t>
        </is>
      </c>
      <c r="C25" s="48" t="n"/>
      <c r="D25" s="48" t="n"/>
      <c r="E25" s="48" t="n"/>
      <c r="F25" s="48" t="n"/>
      <c r="G25" s="48" t="n"/>
    </row>
    <row r="26">
      <c r="B26" s="47" t="inlineStr">
        <is>
          <t>Wärmeversorgung</t>
        </is>
      </c>
      <c r="C26" s="48" t="n"/>
      <c r="D26" s="48" t="n"/>
      <c r="E26" s="48" t="n"/>
      <c r="F26" s="48" t="n"/>
      <c r="G26" s="48" t="n"/>
    </row>
    <row r="27">
      <c r="B27" s="47" t="inlineStr">
        <is>
          <t>Betriebsführung Wasserversorgung</t>
        </is>
      </c>
      <c r="C27" s="48" t="n"/>
      <c r="D27" s="48" t="n"/>
      <c r="E27" s="48" t="n"/>
      <c r="F27" s="48" t="n"/>
      <c r="G27" s="48" t="n"/>
    </row>
    <row r="28">
      <c r="B28" s="47" t="inlineStr">
        <is>
          <t>Wasserverkauf an ‹Eigenbetrieb›</t>
        </is>
      </c>
      <c r="C28" s="48" t="n"/>
      <c r="D28" s="48" t="n"/>
      <c r="E28" s="48" t="n"/>
      <c r="F28" s="48" t="n"/>
      <c r="G28" s="48" t="n"/>
    </row>
    <row r="29">
      <c r="B29" s="47" t="inlineStr">
        <is>
          <t>Konzerninterne Dienstleistungen</t>
        </is>
      </c>
      <c r="C29" s="48" t="n"/>
      <c r="D29" s="48" t="n"/>
      <c r="E29" s="48" t="n"/>
      <c r="F29" s="48" t="n"/>
      <c r="G29" s="48" t="n"/>
    </row>
    <row r="30">
      <c r="B30" s="47" t="inlineStr">
        <is>
          <t>Übrige Umsatzerlöse</t>
        </is>
      </c>
      <c r="C30" s="48" t="n"/>
      <c r="D30" s="48" t="n"/>
      <c r="E30" s="48" t="n"/>
      <c r="F30" s="48" t="n"/>
      <c r="G30" s="48" t="n"/>
    </row>
    <row r="31">
      <c r="B31" s="45" t="inlineStr">
        <is>
          <t>Umsätze lt. Aufteilung</t>
        </is>
      </c>
      <c r="C31" s="46">
        <f>SUM(C24:C30)</f>
        <v/>
      </c>
      <c r="D31" s="46">
        <f>SUM(D24:D30)</f>
        <v/>
      </c>
      <c r="E31" s="46">
        <f>SUM(E24:E30)</f>
        <v/>
      </c>
      <c r="F31" s="46">
        <f>SUM(F24:F30)</f>
        <v/>
      </c>
      <c r="G31" s="46">
        <f>SUM(G24:G30)</f>
        <v/>
      </c>
    </row>
    <row r="32">
      <c r="B32" s="8" t="inlineStr">
        <is>
          <t>nachrichtlich: Umsatzerlöse lt. GuV</t>
        </is>
      </c>
      <c r="C32" s="24">
        <f>'GES GuV'!C5</f>
        <v/>
      </c>
      <c r="D32" s="24">
        <f>'GES GuV'!D5</f>
        <v/>
      </c>
      <c r="E32" s="24">
        <f>'GES GuV'!E5</f>
        <v/>
      </c>
      <c r="F32" s="24">
        <f>'GES GuV'!F5</f>
        <v/>
      </c>
      <c r="G32" s="24">
        <f>'GES GuV'!G5</f>
        <v/>
      </c>
    </row>
    <row r="33">
      <c r="B33" s="58" t="inlineStr">
        <is>
          <t>Kontrolle: Aufteilung ./. GuV (muss 0 sein; 2025 Rundung)</t>
        </is>
      </c>
      <c r="C33" s="59">
        <f>ROUND(C31-C32,1)</f>
        <v/>
      </c>
      <c r="D33" s="59">
        <f>ROUND(D31-D32,1)</f>
        <v/>
      </c>
      <c r="E33" s="59">
        <f>ROUND(E31-E32,1)</f>
        <v/>
      </c>
      <c r="F33" s="59">
        <f>ROUND(F31-F32,1)</f>
        <v/>
      </c>
      <c r="G33" s="59">
        <f>ROUND(G31-G32,1)</f>
        <v/>
      </c>
    </row>
    <row r="34"/>
    <row r="35">
      <c r="B35" s="7" t="inlineStr">
        <is>
          <t>Umsatzaufteilung in %</t>
        </is>
      </c>
    </row>
    <row r="36">
      <c r="B36" s="47" t="inlineStr">
        <is>
          <t>Stromversorgung (inkl. Handelsgeschäfte)</t>
        </is>
      </c>
      <c r="C36" s="41">
        <f>IFERROR(C24/C$31,0)</f>
        <v/>
      </c>
      <c r="D36" s="41">
        <f>IFERROR(D24/D$31,0)</f>
        <v/>
      </c>
      <c r="E36" s="41">
        <f>IFERROR(E24/E$31,0)</f>
        <v/>
      </c>
      <c r="F36" s="41">
        <f>IFERROR(F24/F$31,0)</f>
        <v/>
      </c>
      <c r="G36" s="41">
        <f>IFERROR(G24/G$31,0)</f>
        <v/>
      </c>
    </row>
    <row r="37">
      <c r="B37" s="47" t="inlineStr">
        <is>
          <t>Gasversorgung (inkl. Handelsgeschäfte)</t>
        </is>
      </c>
      <c r="C37" s="41">
        <f>IFERROR(C25/C$31,0)</f>
        <v/>
      </c>
      <c r="D37" s="41">
        <f>IFERROR(D25/D$31,0)</f>
        <v/>
      </c>
      <c r="E37" s="41">
        <f>IFERROR(E25/E$31,0)</f>
        <v/>
      </c>
      <c r="F37" s="41">
        <f>IFERROR(F25/F$31,0)</f>
        <v/>
      </c>
      <c r="G37" s="41">
        <f>IFERROR(G25/G$31,0)</f>
        <v/>
      </c>
    </row>
    <row r="38">
      <c r="B38" s="47" t="inlineStr">
        <is>
          <t>Wärmeversorgung</t>
        </is>
      </c>
      <c r="C38" s="41">
        <f>IFERROR(C26/C$31,0)</f>
        <v/>
      </c>
      <c r="D38" s="41">
        <f>IFERROR(D26/D$31,0)</f>
        <v/>
      </c>
      <c r="E38" s="41">
        <f>IFERROR(E26/E$31,0)</f>
        <v/>
      </c>
      <c r="F38" s="41">
        <f>IFERROR(F26/F$31,0)</f>
        <v/>
      </c>
      <c r="G38" s="41">
        <f>IFERROR(G26/G$31,0)</f>
        <v/>
      </c>
    </row>
    <row r="39">
      <c r="B39" s="47" t="inlineStr">
        <is>
          <t>Betriebsführung Wasserversorgung</t>
        </is>
      </c>
      <c r="C39" s="41">
        <f>IFERROR(C27/C$31,0)</f>
        <v/>
      </c>
      <c r="D39" s="41">
        <f>IFERROR(D27/D$31,0)</f>
        <v/>
      </c>
      <c r="E39" s="41">
        <f>IFERROR(E27/E$31,0)</f>
        <v/>
      </c>
      <c r="F39" s="41">
        <f>IFERROR(F27/F$31,0)</f>
        <v/>
      </c>
      <c r="G39" s="41">
        <f>IFERROR(G27/G$31,0)</f>
        <v/>
      </c>
    </row>
    <row r="40">
      <c r="B40" s="47" t="inlineStr">
        <is>
          <t>Wasserverkauf an ‹Eigenbetrieb›</t>
        </is>
      </c>
      <c r="C40" s="41">
        <f>IFERROR(C28/C$31,0)</f>
        <v/>
      </c>
      <c r="D40" s="41">
        <f>IFERROR(D28/D$31,0)</f>
        <v/>
      </c>
      <c r="E40" s="41">
        <f>IFERROR(E28/E$31,0)</f>
        <v/>
      </c>
      <c r="F40" s="41">
        <f>IFERROR(F28/F$31,0)</f>
        <v/>
      </c>
      <c r="G40" s="41">
        <f>IFERROR(G28/G$31,0)</f>
        <v/>
      </c>
    </row>
    <row r="41">
      <c r="B41" s="47" t="inlineStr">
        <is>
          <t>Konzerninterne Dienstleistungen</t>
        </is>
      </c>
      <c r="C41" s="41">
        <f>IFERROR(C29/C$31,0)</f>
        <v/>
      </c>
      <c r="D41" s="41">
        <f>IFERROR(D29/D$31,0)</f>
        <v/>
      </c>
      <c r="E41" s="41">
        <f>IFERROR(E29/E$31,0)</f>
        <v/>
      </c>
      <c r="F41" s="41">
        <f>IFERROR(F29/F$31,0)</f>
        <v/>
      </c>
      <c r="G41" s="41">
        <f>IFERROR(G29/G$31,0)</f>
        <v/>
      </c>
    </row>
    <row r="42">
      <c r="B42" s="47" t="inlineStr">
        <is>
          <t>Übrige Umsatzerlöse</t>
        </is>
      </c>
      <c r="C42" s="41">
        <f>IFERROR(C30/C$31,0)</f>
        <v/>
      </c>
      <c r="D42" s="41">
        <f>IFERROR(D30/D$31,0)</f>
        <v/>
      </c>
      <c r="E42" s="41">
        <f>IFERROR(E30/E$31,0)</f>
        <v/>
      </c>
      <c r="F42" s="41">
        <f>IFERROR(F30/F$31,0)</f>
        <v/>
      </c>
      <c r="G42" s="41">
        <f>IFERROR(G30/G$31,0)</f>
        <v/>
      </c>
    </row>
    <row r="43">
      <c r="B43" s="39" t="inlineStr">
        <is>
          <t>Summe</t>
        </is>
      </c>
      <c r="C43" s="60">
        <f>SUM(C36:C42)</f>
        <v/>
      </c>
      <c r="D43" s="60">
        <f>SUM(D36:D42)</f>
        <v/>
      </c>
      <c r="E43" s="60">
        <f>SUM(E36:E42)</f>
        <v/>
      </c>
      <c r="F43" s="60">
        <f>SUM(F36:F42)</f>
        <v/>
      </c>
      <c r="G43" s="60">
        <f>SUM(G36:G42)</f>
        <v/>
      </c>
    </row>
    <row r="44"/>
    <row r="45">
      <c r="B45" s="14" t="inlineStr">
        <is>
          <t>Quelle Investitionen: Lagebericht des jeweiligen Jahresabschlusses (JA 2021 S. 5, JA 2022 S. 6, JA 2023 S. 24, JA 2024 S. 25) sowie Geschäftsbericht 2025, Seite 18. Angesetzt ist jeweils die Darstellung des Berichtsjahres selbst. „n.a.“ bedeutet, dass der Bereich im betreffenden Jahr nicht separat ausgewiesen wurde – dies ist nicht mit einem Wert von null gleichzusetzen: 2021 waren die gemeinsamen Bereiche noch auf die Sparten verteilt, die Telekommunikation wurde nur im Jahresabschluss 2024 gesondert gezeigt.</t>
        </is>
      </c>
    </row>
    <row r="46"/>
    <row r="47"/>
    <row r="48">
      <c r="B48" s="14" t="inlineStr">
        <is>
          <t>Quelle Umsatzaufteilung: „Aufteilung nach Bereichen“ im Lagebericht (JA 2021 S. 19, JA 2022 S. 20, JA 2023 S. 10, JA 2024 S. 9) sowie Geschäftsbericht 2025, Seite 16. Die Aufteilung 2025 wird nur auf 0,1 Mio. EUR genau veröffentlicht; die Summe der Sparten (473,8) weicht daher um 0,03 Mio. EUR vom GuV-Umsatz (473,770) ab. Quelle Absatzmengen: „Absatzentwicklung“ im jeweiligen Lagebericht bzw. Geschäftsbericht 2025, Seite 15.</t>
        </is>
      </c>
    </row>
    <row r="49"/>
  </sheetData>
  <mergeCells count="2">
    <mergeCell ref="B48:G49"/>
    <mergeCell ref="B45:G4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9" customWidth="1" min="1" max="1"/>
    <col width="26" customWidth="1" min="2" max="2"/>
    <col width="108" customWidth="1" min="3" max="3"/>
    <col width="9" customWidth="1" min="4" max="4"/>
  </cols>
  <sheetData>
    <row r="1"/>
    <row r="2" ht="21" customHeight="1">
      <c r="B2" s="44" t="inlineStr">
        <is>
          <t>‹Gesellschaft› – Quellen und Hinweise</t>
        </is>
      </c>
      <c r="C2" s="44" t="n"/>
      <c r="D2" s="44" t="n"/>
    </row>
    <row r="3">
      <c r="B3" s="5" t="inlineStr">
        <is>
          <t>Gegenstand</t>
        </is>
      </c>
      <c r="C3" s="5" t="inlineStr">
        <is>
          <t>Erläuterung</t>
        </is>
      </c>
    </row>
    <row r="4" ht="15" customHeight="1">
      <c r="B4" s="61" t="inlineStr">
        <is>
          <t>Gesellschaft</t>
        </is>
      </c>
      <c r="C4" s="86" t="inlineStr">
        <is>
          <t>‹Gesellschaft›, ‹Anschrift› – ‹Amtsgericht›, ‹HRB›.</t>
        </is>
      </c>
    </row>
    <row r="5" ht="30" customHeight="1">
      <c r="B5" s="61" t="inlineStr">
        <is>
          <t>Berichtsumfang</t>
        </is>
      </c>
      <c r="C5" s="86" t="inlineStr">
        <is>
          <t>Dargestellt ist ‹der HGB-Einzelabschluss / der Konzernabschluss› der Geschäftsjahre ‹J1› bis ‹J5›. ‹Abgrenzung: Tätigkeitsabschlüsse nach § 6b EnWG nicht enthalten; Konzernabschluss wird nicht aufgestellt (§ 291 HGB) …›</t>
        </is>
      </c>
    </row>
    <row r="6" ht="30" customHeight="1">
      <c r="B6" s="61" t="inlineStr">
        <is>
          <t>Einheit</t>
        </is>
      </c>
      <c r="C6" s="86" t="inlineStr">
        <is>
          <t>Alle Beträge in Mio. EUR (Tausenderwerte des Abschlusses durch 1.000, exakt hinterlegt, auf eine Nachkommastelle angezeigt). Kein Euro-Zeichen in der Mappe.</t>
        </is>
      </c>
    </row>
    <row r="7" ht="15" customHeight="1">
      <c r="B7" s="61" t="inlineStr">
        <is>
          <t>Quelle GJ ‹J1›</t>
        </is>
      </c>
      <c r="C7" s="86" t="inlineStr">
        <is>
          <t>‹Jahresabschluss zum 31.12.‹J1›, Auszug aus dem Unternehmensregister, Tag der Erstellung …› – liefert GJ ‹J1› (Vorjahresspalte des JA ‹J2›)</t>
        </is>
      </c>
    </row>
    <row r="8" ht="15" customHeight="1">
      <c r="B8" s="61" t="inlineStr">
        <is>
          <t>Quelle GJ ‹J2›</t>
        </is>
      </c>
      <c r="C8" s="86" t="inlineStr">
        <is>
          <t>…</t>
        </is>
      </c>
    </row>
    <row r="9" ht="15" customHeight="1">
      <c r="B9" s="61" t="inlineStr">
        <is>
          <t>Quelle GJ ‹J3›</t>
        </is>
      </c>
      <c r="C9" s="86" t="inlineStr">
        <is>
          <t>…</t>
        </is>
      </c>
    </row>
    <row r="10" ht="15" customHeight="1">
      <c r="B10" s="61" t="inlineStr">
        <is>
          <t>Quelle GJ ‹J4›</t>
        </is>
      </c>
      <c r="C10" s="86" t="inlineStr">
        <is>
          <t>…</t>
        </is>
      </c>
    </row>
    <row r="11" ht="45" customHeight="1">
      <c r="B11" s="61" t="inlineStr">
        <is>
          <t>Quelle GJ ‹J5›</t>
        </is>
      </c>
      <c r="C11" s="86" t="inlineStr">
        <is>
          <t>‹Geschäftsbericht ‹J5›: Bilanz S. …, GuV S. …, Kapitalflussrechnung S. …, Anhang S. …›</t>
        </is>
      </c>
    </row>
    <row r="12" ht="60" customHeight="1">
      <c r="B12" s="61" t="inlineStr">
        <is>
          <t>Farbkonvention</t>
        </is>
      </c>
      <c r="C12" s="86" t="inlineStr">
        <is>
          <t>Blau = Eingabewert direkt aus dem Abschluss | Schwarz = Formel im Blatt | Grün = Verweis auf ein anderes Blatt | Grau kursiv = im betreffenden Jahr nicht separat ausgewiesen (n.a.)</t>
        </is>
      </c>
    </row>
    <row r="13" ht="30" customHeight="1">
      <c r="B13" s="61" t="inlineStr">
        <is>
          <t>Definition EBIT / EBITDA</t>
        </is>
      </c>
      <c r="C13" s="86" t="inlineStr">
        <is>
          <t>Schalter GES KPIs!C45 = ‹1/2›. ‹Einzelabschluss: EBIT = Betriebliches Ergebnis + Beteiligungsergebnis − Abschreibungen auf Finanzanlagen; EBITDA = EBIT + Abschreibungen (inkl. Finanzanlagen). Konzern: EBIT = Betriebsergebnis; EBITDA = EBIT + Abschreibungen.› Begründung: …</t>
        </is>
      </c>
    </row>
    <row r="14" ht="45" customHeight="1">
      <c r="B14" s="61" t="inlineStr">
        <is>
          <t>Definition Net Debt</t>
        </is>
      </c>
      <c r="C14" s="86" t="inlineStr">
        <is>
          <t>Stufe GES KPIs!C57 = ‹1/2/3›. ‹Definition wortgleich wie in der Fußnote der Folie›. Begründung nach Datenlage: …</t>
        </is>
      </c>
    </row>
    <row r="15" ht="45" customHeight="1">
      <c r="B15" s="61" t="inlineStr">
        <is>
          <t>Definition EAT</t>
        </is>
      </c>
      <c r="C15" s="86" t="inlineStr">
        <is>
          <t>Ergebnis nach Steuern vor Ausgleichszahlung und Gewinnabführung (GuV Pos. 17).</t>
        </is>
      </c>
    </row>
    <row r="16" ht="75" customHeight="1">
      <c r="B16" s="61" t="inlineStr">
        <is>
          <t>Definition CapEx</t>
        </is>
      </c>
      <c r="C16" s="86" t="inlineStr">
        <is>
          <t>Kachel: Gesamtinvestitionen inklusive Finanzanlagen. Segmenttabelle: ‹ohne … ; Überleitung in der Fußnote›.</t>
        </is>
      </c>
    </row>
    <row r="17" ht="45" customHeight="1">
      <c r="B17" s="61" t="inlineStr">
        <is>
          <t>Definition EK-Quote</t>
        </is>
      </c>
      <c r="C17" s="86" t="inlineStr">
        <is>
          <t>Eigenkapital / Bilanzsumme ‹inkl. nicht beherrschender Anteile›; nachrichtlich die Quote lt. Lagebericht auf dem KPI-Blatt.</t>
        </is>
      </c>
    </row>
    <row r="18" ht="45" customHeight="1">
      <c r="B18" s="61" t="inlineStr">
        <is>
          <t>Umsatz</t>
        </is>
      </c>
      <c r="C18" s="86" t="inlineStr">
        <is>
          <t>Netto Strom- und Gassteuer, wie in der GuV. ‹Brutto-Ausweis älterer Unterlagen: …›</t>
        </is>
      </c>
    </row>
    <row r="19" ht="30" customHeight="1">
      <c r="B19" s="61" t="inlineStr">
        <is>
          <t>Abweichung 1</t>
        </is>
      </c>
      <c r="C19" s="86" t="inlineStr">
        <is>
          <t>‹Position, Fundstelle A mit Wert, Fundstelle B mit Wert, angesetzt: …, Grund: …›</t>
        </is>
      </c>
    </row>
    <row r="20" ht="60" customHeight="1">
      <c r="B20" s="61" t="inlineStr">
        <is>
          <t>Abweichung 2</t>
        </is>
      </c>
      <c r="C20" s="86" t="inlineStr">
        <is>
          <t>…</t>
        </is>
      </c>
    </row>
    <row r="21">
      <c r="B21" s="9" t="inlineStr">
        <is>
          <t>Abweichung 3</t>
        </is>
      </c>
      <c r="C21" s="86" t="inlineStr">
        <is>
          <t>…</t>
        </is>
      </c>
    </row>
    <row r="22">
      <c r="B22" s="9" t="inlineStr">
        <is>
          <t>GuV-Gliederung</t>
        </is>
      </c>
      <c r="C22" s="86" t="inlineStr">
        <is>
          <t>Die Positionsnummerierung folgt dem Jahresabschluss ‹J5›. ‹Positionen, die frühere Jahre nicht kennen, sind mit null angesetzt: …›</t>
        </is>
      </c>
    </row>
    <row r="23">
      <c r="B23" s="9" t="inlineStr">
        <is>
          <t>Kontrollen</t>
        </is>
      </c>
      <c r="C23" s="86" t="inlineStr">
        <is>
          <t>Jedes Detailblatt enthält Kontrollzeilen, die auf null auflaufen müssen: Bilanz Aktiva ./. Passiva, Bilanzgewinn GuV ./. Bilanz, Finanzmittelfonds ./. Kassenbestand lt. Bilanz sowie Umsatzaufteilung ./. GuV. Prüfung: scripts/model_tools.py check</t>
        </is>
      </c>
    </row>
    <row r="24">
      <c r="B24" s="9" t="inlineStr">
        <is>
          <t>Formatvorlage</t>
        </is>
      </c>
      <c r="C24" s="86" t="inlineStr">
        <is>
          <t>Aufbau, Schrift (Univers for Metzler), Farben und Zahlenformate aus dem Financial Model evm/enm bzw. ESWE 2021–2025. Titelbanner weiß auf 003D7C, Kopfzeile weiß auf 3157E3.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2026-08-31T12:15:05Z</dcterms:created>
  <dcterms:modified xmlns:dcterms="http://purl.org/dc/terms/" xmlns:xsi="http://www.w3.org/2001/XMLSchema-instance" xsi:type="dcterms:W3CDTF">2026-09-24T09:01:19Z</dcterms:modified>
</cp:coreProperties>
</file>