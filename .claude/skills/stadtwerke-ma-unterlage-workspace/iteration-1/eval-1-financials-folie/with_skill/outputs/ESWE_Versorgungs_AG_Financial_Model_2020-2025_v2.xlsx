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ilanz" sheetId="1" state="visible" r:id="rId1"/>
    <sheet xmlns:r="http://schemas.openxmlformats.org/officeDocument/2006/relationships" name="GuV" sheetId="2" state="visible" r:id="rId2"/>
    <sheet xmlns:r="http://schemas.openxmlformats.org/officeDocument/2006/relationships" name="Kapitalflussrechnung" sheetId="3" state="visible" r:id="rId3"/>
    <sheet xmlns:r="http://schemas.openxmlformats.org/officeDocument/2006/relationships" name="Anhang &amp; Capex" sheetId="4" state="visible" r:id="rId4"/>
    <sheet xmlns:r="http://schemas.openxmlformats.org/officeDocument/2006/relationships" name="Overview FS" sheetId="5" state="visible" r:id="rId5"/>
    <sheet xmlns:r="http://schemas.openxmlformats.org/officeDocument/2006/relationships" name="Quellen &amp; Hinweise" sheetId="6" state="visible" r:id="rId6"/>
  </sheets>
  <definedNames>
    <definedName name="_xlnm.Print_Titles" localSheetId="0">'Bilanz'!$1:$6</definedName>
    <definedName name="_xlnm.Print_Titles" localSheetId="1">'GuV'!$1:$6</definedName>
    <definedName name="_xlnm.Print_Titles" localSheetId="2">'Kapitalflussrechnung'!$1:$6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[$-407]#,##0;\-#,##0;\–"/>
    <numFmt numFmtId="165" formatCode="[$-407]#,##0.0;\-#,##0.0;\–"/>
    <numFmt numFmtId="166" formatCode="[$-407]0.0%;\-0.0%;\–"/>
    <numFmt numFmtId="167" formatCode="[$-407]#,##0;\-#,##0"/>
    <numFmt numFmtId="168" formatCode="0.0%"/>
    <numFmt numFmtId="169" formatCode="[$-407]#,##0.0;\-#,##0.0"/>
    <numFmt numFmtId="170" formatCode="0.00&quot;x&quot;"/>
    <numFmt numFmtId="171" formatCode="0.0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2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375623"/>
      <sz val="9"/>
    </font>
    <font>
      <name val="Arial"/>
      <charset val="1"/>
      <family val="0"/>
      <color rgb="FF375623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i val="1"/>
      <color rgb="FF808080"/>
      <sz val="10"/>
    </font>
    <font>
      <name val="Arial"/>
      <charset val="1"/>
      <family val="0"/>
      <color rgb="FF008000"/>
      <sz val="10"/>
    </font>
    <font>
      <name val="Arial"/>
      <b val="1"/>
      <sz val="10"/>
    </font>
    <font>
      <name val="Arial"/>
      <color rgb="FF595959"/>
      <sz val="10"/>
    </font>
    <font>
      <name val="Arial"/>
      <sz val="10"/>
    </font>
    <font>
      <name val="Arial"/>
      <color rgb="FF0000FF"/>
      <sz val="10"/>
    </font>
    <font>
      <name val="Arial"/>
      <color rgb="FF008000"/>
      <sz val="10"/>
    </font>
    <font>
      <name val="Arial"/>
      <color rgb="FF375623"/>
      <sz val="10"/>
    </font>
    <font>
      <name val="Arial"/>
      <color rgb="FF808080"/>
      <sz val="10"/>
    </font>
  </fonts>
  <fills count="6">
    <fill>
      <patternFill/>
    </fill>
    <fill>
      <patternFill patternType="gray125"/>
    </fill>
    <fill>
      <patternFill patternType="solid">
        <fgColor rgb="FFD9D9D9"/>
        <bgColor rgb="FFE8E8E8"/>
      </patternFill>
    </fill>
    <fill>
      <patternFill patternType="solid">
        <fgColor rgb="FFF2F2F2"/>
        <bgColor rgb="FFE8E8E8"/>
      </patternFill>
    </fill>
    <fill>
      <patternFill patternType="solid">
        <fgColor rgb="FFE8E8E8"/>
        <bgColor rgb="FFE2EFDA"/>
      </patternFill>
    </fill>
    <fill>
      <patternFill patternType="solid">
        <fgColor rgb="FFE2EFDA"/>
        <bgColor rgb="FFE8E8E8"/>
      </patternFill>
    </fill>
  </fills>
  <borders count="5">
    <border>
      <left/>
      <right/>
      <top/>
      <bottom/>
      <diagonal/>
    </border>
    <border>
      <left/>
      <right/>
      <top style="medium"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double"/>
      <diagonal/>
    </border>
    <border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bottom"/>
    </xf>
    <xf numFmtId="0" fontId="7" fillId="2" borderId="1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8" fillId="3" borderId="0" applyAlignment="1" pivotButton="0" quotePrefix="0" xfId="0">
      <alignment horizontal="general" vertical="bottom" indent="1"/>
    </xf>
    <xf numFmtId="0" fontId="0" fillId="3" borderId="0" applyAlignment="1" pivotButton="0" quotePrefix="0" xfId="0">
      <alignment horizontal="general" vertical="bottom"/>
    </xf>
    <xf numFmtId="164" fontId="9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 indent="1"/>
    </xf>
    <xf numFmtId="164" fontId="9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right" vertical="bottom"/>
    </xf>
    <xf numFmtId="0" fontId="8" fillId="3" borderId="0" applyAlignment="1" pivotButton="0" quotePrefix="0" xfId="0">
      <alignment horizontal="center" vertical="bottom"/>
    </xf>
    <xf numFmtId="0" fontId="7" fillId="4" borderId="3" applyAlignment="1" pivotButton="0" quotePrefix="0" xfId="0">
      <alignment horizontal="general" vertical="bottom"/>
    </xf>
    <xf numFmtId="0" fontId="0" fillId="4" borderId="3" applyAlignment="1" pivotButton="0" quotePrefix="0" xfId="0">
      <alignment horizontal="general" vertical="bottom"/>
    </xf>
    <xf numFmtId="164" fontId="7" fillId="4" borderId="3" applyAlignment="1" pivotButton="0" quotePrefix="0" xfId="0">
      <alignment horizontal="right" vertical="bottom"/>
    </xf>
    <xf numFmtId="0" fontId="7" fillId="3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164" fontId="11" fillId="5" borderId="0" applyAlignment="1" pivotButton="0" quotePrefix="0" xfId="0">
      <alignment horizontal="right" vertical="bottom"/>
    </xf>
    <xf numFmtId="0" fontId="12" fillId="0" borderId="0" applyAlignment="1" pivotButton="0" quotePrefix="0" xfId="0">
      <alignment horizontal="general" vertical="bottom"/>
    </xf>
    <xf numFmtId="0" fontId="13" fillId="3" borderId="0" applyAlignment="1" pivotButton="0" quotePrefix="0" xfId="0">
      <alignment horizontal="right" vertical="bottom"/>
    </xf>
    <xf numFmtId="165" fontId="9" fillId="3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right" vertical="bottom"/>
    </xf>
    <xf numFmtId="0" fontId="13" fillId="0" borderId="0" applyAlignment="1" pivotButton="0" quotePrefix="0" xfId="0">
      <alignment horizontal="right" vertical="bottom"/>
    </xf>
    <xf numFmtId="165" fontId="7" fillId="4" borderId="3" applyAlignment="1" pivotButton="0" quotePrefix="0" xfId="0">
      <alignment horizontal="right" vertical="bottom"/>
    </xf>
    <xf numFmtId="165" fontId="11" fillId="5" borderId="0" applyAlignment="1" pivotButton="0" quotePrefix="0" xfId="0">
      <alignment horizontal="right" vertical="bottom"/>
    </xf>
    <xf numFmtId="164" fontId="14" fillId="0" borderId="0" applyAlignment="1" pivotButton="0" quotePrefix="0" xfId="0">
      <alignment horizontal="right" vertical="bottom"/>
    </xf>
    <xf numFmtId="164" fontId="14" fillId="3" borderId="0" applyAlignment="1" pivotButton="0" quotePrefix="0" xfId="0">
      <alignment horizontal="right" vertical="bottom"/>
    </xf>
    <xf numFmtId="165" fontId="14" fillId="3" borderId="0" applyAlignment="1" pivotButton="0" quotePrefix="0" xfId="0">
      <alignment horizontal="right" vertical="bottom"/>
    </xf>
    <xf numFmtId="165" fontId="14" fillId="0" borderId="0" applyAlignment="1" pivotButton="0" quotePrefix="0" xfId="0">
      <alignment horizontal="right" vertical="bottom"/>
    </xf>
    <xf numFmtId="166" fontId="8" fillId="0" borderId="0" applyAlignment="1" pivotButton="0" quotePrefix="0" xfId="0">
      <alignment horizontal="right" vertical="bottom"/>
    </xf>
    <xf numFmtId="166" fontId="8" fillId="3" borderId="0" applyAlignment="1" pivotButton="0" quotePrefix="0" xfId="0">
      <alignment horizontal="right" vertical="bottom"/>
    </xf>
    <xf numFmtId="164" fontId="8" fillId="3" borderId="0" applyAlignment="1" pivotButton="0" quotePrefix="0" xfId="0">
      <alignment horizontal="right" vertical="bottom"/>
    </xf>
    <xf numFmtId="166" fontId="9" fillId="0" borderId="0" applyAlignment="1" pivotButton="0" quotePrefix="0" xfId="0">
      <alignment horizontal="general" vertical="bottom"/>
    </xf>
    <xf numFmtId="166" fontId="11" fillId="5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bottom"/>
    </xf>
    <xf numFmtId="0" fontId="7" fillId="2" borderId="1" applyAlignment="1" pivotButton="0" quotePrefix="0" xfId="0">
      <alignment horizontal="right" vertical="bottom"/>
    </xf>
    <xf numFmtId="0" fontId="7" fillId="2" borderId="1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8" fillId="3" borderId="0" applyAlignment="1" pivotButton="0" quotePrefix="0" xfId="0">
      <alignment horizontal="general" vertical="bottom" indent="1"/>
    </xf>
    <xf numFmtId="0" fontId="0" fillId="3" borderId="0" applyAlignment="1" pivotButton="0" quotePrefix="0" xfId="0">
      <alignment horizontal="general" vertical="bottom"/>
    </xf>
    <xf numFmtId="164" fontId="9" fillId="3" borderId="0" applyAlignment="1" pivotButton="0" quotePrefix="0" xfId="0">
      <alignment horizontal="general" vertical="bottom"/>
    </xf>
    <xf numFmtId="164" fontId="9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 indent="1"/>
    </xf>
    <xf numFmtId="164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right" vertical="bottom"/>
    </xf>
    <xf numFmtId="164" fontId="7" fillId="0" borderId="2" applyAlignment="1" pivotButton="0" quotePrefix="0" xfId="0">
      <alignment horizontal="right" vertical="bottom"/>
    </xf>
    <xf numFmtId="0" fontId="8" fillId="3" borderId="0" applyAlignment="1" pivotButton="0" quotePrefix="0" xfId="0">
      <alignment horizontal="center" vertical="bottom"/>
    </xf>
    <xf numFmtId="0" fontId="7" fillId="4" borderId="3" applyAlignment="1" pivotButton="0" quotePrefix="0" xfId="0">
      <alignment horizontal="general" vertical="bottom"/>
    </xf>
    <xf numFmtId="0" fontId="0" fillId="4" borderId="3" applyAlignment="1" pivotButton="0" quotePrefix="0" xfId="0">
      <alignment horizontal="general" vertical="bottom"/>
    </xf>
    <xf numFmtId="164" fontId="7" fillId="4" borderId="3" applyAlignment="1" pivotButton="0" quotePrefix="0" xfId="0">
      <alignment horizontal="right" vertical="bottom"/>
    </xf>
    <xf numFmtId="164" fontId="7" fillId="4" borderId="3" applyAlignment="1" pivotButton="0" quotePrefix="0" xfId="0">
      <alignment horizontal="right" vertical="bottom"/>
    </xf>
    <xf numFmtId="0" fontId="7" fillId="3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164" fontId="11" fillId="5" borderId="0" applyAlignment="1" pivotButton="0" quotePrefix="0" xfId="0">
      <alignment horizontal="right" vertical="bottom"/>
    </xf>
    <xf numFmtId="164" fontId="11" fillId="5" borderId="0" applyAlignment="1" pivotButton="0" quotePrefix="0" xfId="0">
      <alignment horizontal="right" vertical="bottom"/>
    </xf>
    <xf numFmtId="0" fontId="12" fillId="0" borderId="0" applyAlignment="1" pivotButton="0" quotePrefix="0" xfId="0">
      <alignment horizontal="general" vertical="bottom"/>
    </xf>
    <xf numFmtId="0" fontId="13" fillId="3" borderId="0" applyAlignment="1" pivotButton="0" quotePrefix="0" xfId="0">
      <alignment horizontal="right" vertical="bottom"/>
    </xf>
    <xf numFmtId="165" fontId="9" fillId="3" borderId="0" applyAlignment="1" pivotButton="0" quotePrefix="0" xfId="0">
      <alignment horizontal="general" vertical="bottom"/>
    </xf>
    <xf numFmtId="165" fontId="9" fillId="3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right" vertical="bottom"/>
    </xf>
    <xf numFmtId="165" fontId="7" fillId="0" borderId="2" applyAlignment="1" pivotButton="0" quotePrefix="0" xfId="0">
      <alignment horizontal="right" vertical="bottom"/>
    </xf>
    <xf numFmtId="0" fontId="13" fillId="0" borderId="0" applyAlignment="1" pivotButton="0" quotePrefix="0" xfId="0">
      <alignment horizontal="right" vertical="bottom"/>
    </xf>
    <xf numFmtId="165" fontId="7" fillId="4" borderId="3" applyAlignment="1" pivotButton="0" quotePrefix="0" xfId="0">
      <alignment horizontal="right" vertical="bottom"/>
    </xf>
    <xf numFmtId="165" fontId="7" fillId="4" borderId="3" applyAlignment="1" pivotButton="0" quotePrefix="0" xfId="0">
      <alignment horizontal="right" vertical="bottom"/>
    </xf>
    <xf numFmtId="165" fontId="11" fillId="5" borderId="0" applyAlignment="1" pivotButton="0" quotePrefix="0" xfId="0">
      <alignment horizontal="right" vertical="bottom"/>
    </xf>
    <xf numFmtId="165" fontId="11" fillId="5" borderId="0" applyAlignment="1" pivotButton="0" quotePrefix="0" xfId="0">
      <alignment horizontal="right" vertical="bottom"/>
    </xf>
    <xf numFmtId="164" fontId="14" fillId="0" borderId="0" applyAlignment="1" pivotButton="0" quotePrefix="0" xfId="0">
      <alignment horizontal="right" vertical="bottom"/>
    </xf>
    <xf numFmtId="164" fontId="14" fillId="3" borderId="0" applyAlignment="1" pivotButton="0" quotePrefix="0" xfId="0">
      <alignment horizontal="right" vertical="bottom"/>
    </xf>
    <xf numFmtId="165" fontId="14" fillId="3" borderId="0" applyAlignment="1" pivotButton="0" quotePrefix="0" xfId="0">
      <alignment horizontal="right" vertical="bottom"/>
    </xf>
    <xf numFmtId="165" fontId="14" fillId="0" borderId="0" applyAlignment="1" pivotButton="0" quotePrefix="0" xfId="0">
      <alignment horizontal="right" vertical="bottom"/>
    </xf>
    <xf numFmtId="166" fontId="8" fillId="0" borderId="0" applyAlignment="1" pivotButton="0" quotePrefix="0" xfId="0">
      <alignment horizontal="right" vertical="bottom"/>
    </xf>
    <xf numFmtId="166" fontId="8" fillId="3" borderId="0" applyAlignment="1" pivotButton="0" quotePrefix="0" xfId="0">
      <alignment horizontal="right" vertical="bottom"/>
    </xf>
    <xf numFmtId="164" fontId="8" fillId="3" borderId="0" applyAlignment="1" pivotButton="0" quotePrefix="0" xfId="0">
      <alignment horizontal="right" vertical="bottom"/>
    </xf>
    <xf numFmtId="166" fontId="9" fillId="0" borderId="0" applyAlignment="1" pivotButton="0" quotePrefix="0" xfId="0">
      <alignment horizontal="general" vertical="bottom"/>
    </xf>
    <xf numFmtId="166" fontId="11" fillId="5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general" vertical="bottom"/>
    </xf>
    <xf numFmtId="0" fontId="15" fillId="0" borderId="0" pivotButton="0" quotePrefix="0" xfId="0"/>
    <xf numFmtId="0" fontId="16" fillId="0" borderId="0" pivotButton="0" quotePrefix="0" xfId="0"/>
    <xf numFmtId="0" fontId="15" fillId="0" borderId="4" applyAlignment="1" pivotButton="0" quotePrefix="0" xfId="0">
      <alignment horizontal="left"/>
    </xf>
    <xf numFmtId="0" fontId="15" fillId="0" borderId="4" applyAlignment="1" pivotButton="0" quotePrefix="0" xfId="0">
      <alignment horizontal="right"/>
    </xf>
    <xf numFmtId="0" fontId="17" fillId="0" borderId="0" pivotButton="0" quotePrefix="0" xfId="0"/>
    <xf numFmtId="167" fontId="18" fillId="0" borderId="0" pivotButton="0" quotePrefix="0" xfId="0"/>
    <xf numFmtId="167" fontId="17" fillId="0" borderId="0" pivotButton="0" quotePrefix="0" xfId="0"/>
    <xf numFmtId="167" fontId="19" fillId="0" borderId="0" pivotButton="0" quotePrefix="0" xfId="0"/>
    <xf numFmtId="0" fontId="20" fillId="0" borderId="0" pivotButton="0" quotePrefix="0" xfId="0"/>
    <xf numFmtId="167" fontId="20" fillId="0" borderId="0" pivotButton="0" quotePrefix="0" xfId="0"/>
    <xf numFmtId="168" fontId="18" fillId="0" borderId="0" pivotButton="0" quotePrefix="0" xfId="0"/>
    <xf numFmtId="168" fontId="17" fillId="0" borderId="0" pivotButton="0" quotePrefix="0" xfId="0"/>
    <xf numFmtId="169" fontId="19" fillId="0" borderId="0" pivotButton="0" quotePrefix="0" xfId="0"/>
    <xf numFmtId="169" fontId="17" fillId="0" borderId="0" pivotButton="0" quotePrefix="0" xfId="0"/>
    <xf numFmtId="170" fontId="17" fillId="0" borderId="0" pivotButton="0" quotePrefix="0" xfId="0"/>
    <xf numFmtId="169" fontId="20" fillId="0" borderId="0" pivotButton="0" quotePrefix="0" xfId="0"/>
    <xf numFmtId="171" fontId="20" fillId="0" borderId="0" pivotButton="0" quotePrefix="0" xfId="0"/>
    <xf numFmtId="168" fontId="19" fillId="0" borderId="0" pivotButton="0" quotePrefix="0" xfId="0"/>
    <xf numFmtId="0" fontId="21" fillId="0" borderId="0" applyAlignment="1" pivotButton="0" quotePrefix="0" xfId="0">
      <alignment horizontal="right"/>
    </xf>
    <xf numFmtId="0" fontId="15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4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60" customWidth="1" style="43" min="1" max="1"/>
    <col width="9" customWidth="1" style="43" min="2" max="2"/>
    <col width="14" customWidth="1" style="43" min="3" max="7"/>
  </cols>
  <sheetData>
    <row r="1" ht="18.75" customHeight="1" s="44">
      <c r="A1" s="45" t="inlineStr">
        <is>
          <t>ESWE Versorgungs AG, Wiesbaden</t>
        </is>
      </c>
    </row>
    <row r="2" ht="18" customHeight="1" s="44">
      <c r="A2" s="46" t="inlineStr">
        <is>
          <t>Bilanz zum 31. Dezember</t>
        </is>
      </c>
    </row>
    <row r="3" ht="13.5" customHeight="1" s="44">
      <c r="A3" s="47" t="inlineStr">
        <is>
          <t>HGB-Einzelabschluss – Gliederung gem. § 266 HGB i. V. m. § 265 Abs. 5 und 6 HGB</t>
        </is>
      </c>
    </row>
    <row r="4" ht="13.5" customHeight="1" s="44">
      <c r="A4" s="47" t="inlineStr">
        <is>
          <t>Angaben in T€</t>
        </is>
      </c>
    </row>
    <row r="6" ht="16.5" customHeight="1" s="44">
      <c r="A6" s="48" t="inlineStr">
        <is>
          <t>Position</t>
        </is>
      </c>
      <c r="B6" s="49" t="inlineStr">
        <is>
          <t>Anhang</t>
        </is>
      </c>
      <c r="C6" s="51" t="inlineStr">
        <is>
          <t>31.12.2020</t>
        </is>
      </c>
      <c r="D6" s="51" t="inlineStr">
        <is>
          <t>31.12.2021</t>
        </is>
      </c>
      <c r="E6" s="51" t="inlineStr">
        <is>
          <t>31.12.2022</t>
        </is>
      </c>
      <c r="F6" s="51" t="inlineStr">
        <is>
          <t>31.12.2023</t>
        </is>
      </c>
      <c r="G6" s="51" t="inlineStr">
        <is>
          <t>31.12.2024</t>
        </is>
      </c>
      <c r="H6" s="51" t="inlineStr">
        <is>
          <t>31.12.2025</t>
        </is>
      </c>
    </row>
    <row r="8" ht="16.5" customHeight="1" s="44">
      <c r="A8" s="52" t="inlineStr">
        <is>
          <t>AKTIVA</t>
        </is>
      </c>
    </row>
    <row r="9" ht="16.5" customHeight="1" s="44">
      <c r="A9" s="52" t="inlineStr">
        <is>
          <t>A. Anlagevermögen</t>
        </is>
      </c>
      <c r="B9" s="53" t="inlineStr">
        <is>
          <t>(1)</t>
        </is>
      </c>
    </row>
    <row r="10" ht="15" customHeight="1" s="44">
      <c r="A10" s="54" t="inlineStr">
        <is>
          <t>I. Immaterielle Vermögensgegenstände</t>
        </is>
      </c>
      <c r="B10" s="55" t="n"/>
      <c r="C10" s="57" t="n">
        <v>829</v>
      </c>
      <c r="D10" s="57" t="n">
        <v>1044</v>
      </c>
      <c r="E10" s="57" t="n">
        <v>811</v>
      </c>
      <c r="F10" s="57" t="n">
        <v>658</v>
      </c>
      <c r="G10" s="57" t="n">
        <v>877</v>
      </c>
      <c r="H10" s="57" t="n">
        <v>764</v>
      </c>
    </row>
    <row r="11" ht="15" customHeight="1" s="44">
      <c r="A11" s="58" t="inlineStr">
        <is>
          <t>II. Sachanlagen</t>
        </is>
      </c>
      <c r="C11" s="60" t="n">
        <v>159903</v>
      </c>
      <c r="D11" s="60" t="n">
        <v>174058</v>
      </c>
      <c r="E11" s="60" t="n">
        <v>189120</v>
      </c>
      <c r="F11" s="60" t="n">
        <v>197803</v>
      </c>
      <c r="G11" s="60" t="n">
        <v>209240</v>
      </c>
      <c r="H11" s="60" t="n">
        <v>223938</v>
      </c>
    </row>
    <row r="12" ht="15" customHeight="1" s="44">
      <c r="A12" s="54" t="inlineStr">
        <is>
          <t>III. Finanzanlagen</t>
        </is>
      </c>
      <c r="B12" s="55" t="n"/>
      <c r="C12" s="57" t="n">
        <v>134084</v>
      </c>
      <c r="D12" s="57" t="n">
        <v>148234</v>
      </c>
      <c r="E12" s="57" t="n">
        <v>170186</v>
      </c>
      <c r="F12" s="57" t="n">
        <v>171960</v>
      </c>
      <c r="G12" s="57" t="n">
        <v>165190</v>
      </c>
      <c r="H12" s="57" t="n">
        <v>170025</v>
      </c>
    </row>
    <row r="13" ht="16.5" customHeight="1" s="44">
      <c r="A13" s="61" t="inlineStr">
        <is>
          <t>Anlagevermögen</t>
        </is>
      </c>
      <c r="B13" s="62" t="n"/>
      <c r="C13" s="64">
        <f>SUM(C10:C12)</f>
        <v/>
      </c>
      <c r="D13" s="64">
        <f>SUM(D10:D12)</f>
        <v/>
      </c>
      <c r="E13" s="64">
        <f>SUM(E10:E12)</f>
        <v/>
      </c>
      <c r="F13" s="64">
        <f>SUM(F10:F12)</f>
        <v/>
      </c>
      <c r="G13" s="64">
        <f>SUM(G10:G12)</f>
        <v/>
      </c>
      <c r="H13" s="64">
        <f>SUM(H10:H12)</f>
        <v/>
      </c>
    </row>
    <row r="15" ht="16.5" customHeight="1" s="44">
      <c r="A15" s="52" t="inlineStr">
        <is>
          <t>B. Umlaufvermögen</t>
        </is>
      </c>
    </row>
    <row r="16" ht="15" customHeight="1" s="44">
      <c r="A16" s="54" t="inlineStr">
        <is>
          <t>I. Vorräte</t>
        </is>
      </c>
      <c r="B16" s="65" t="inlineStr">
        <is>
          <t>(2)</t>
        </is>
      </c>
      <c r="C16" s="57" t="n">
        <v>3898</v>
      </c>
      <c r="D16" s="57" t="n">
        <v>7162</v>
      </c>
      <c r="E16" s="57" t="n">
        <v>8158</v>
      </c>
      <c r="F16" s="57" t="n">
        <v>15439</v>
      </c>
      <c r="G16" s="57" t="n">
        <v>18356</v>
      </c>
      <c r="H16" s="57" t="n">
        <v>17857</v>
      </c>
    </row>
    <row r="17" ht="15" customHeight="1" s="44">
      <c r="A17" s="58" t="inlineStr">
        <is>
          <t>II. Forderungen und sonstige Vermögensgegenstände</t>
        </is>
      </c>
      <c r="B17" s="53" t="inlineStr">
        <is>
          <t>(3)</t>
        </is>
      </c>
      <c r="C17" s="60" t="n">
        <v>33013</v>
      </c>
      <c r="D17" s="60" t="n">
        <v>48391</v>
      </c>
      <c r="E17" s="60" t="n">
        <v>17853</v>
      </c>
      <c r="F17" s="60" t="n">
        <v>46747</v>
      </c>
      <c r="G17" s="60" t="n">
        <v>43316</v>
      </c>
      <c r="H17" s="60" t="n">
        <v>63663</v>
      </c>
    </row>
    <row r="18" ht="15" customHeight="1" s="44">
      <c r="A18" s="54" t="inlineStr">
        <is>
          <t>III. Kassenbestand und Guthaben bei Kreditinstituten</t>
        </is>
      </c>
      <c r="B18" s="55" t="n"/>
      <c r="C18" s="57" t="n">
        <v>2987</v>
      </c>
      <c r="D18" s="57" t="n">
        <v>3616</v>
      </c>
      <c r="E18" s="57" t="n">
        <v>30611</v>
      </c>
      <c r="F18" s="57" t="n">
        <v>44992</v>
      </c>
      <c r="G18" s="57" t="n">
        <v>21543</v>
      </c>
      <c r="H18" s="57" t="n">
        <v>2517</v>
      </c>
    </row>
    <row r="19" ht="16.5" customHeight="1" s="44">
      <c r="A19" s="61" t="inlineStr">
        <is>
          <t>Umlaufvermögen</t>
        </is>
      </c>
      <c r="B19" s="62" t="n"/>
      <c r="C19" s="64">
        <f>SUM(C16:C18)</f>
        <v/>
      </c>
      <c r="D19" s="64">
        <f>SUM(D16:D18)</f>
        <v/>
      </c>
      <c r="E19" s="64">
        <f>SUM(E16:E18)</f>
        <v/>
      </c>
      <c r="F19" s="64">
        <f>SUM(F16:F18)</f>
        <v/>
      </c>
      <c r="G19" s="64">
        <f>SUM(G16:G18)</f>
        <v/>
      </c>
      <c r="H19" s="64">
        <f>SUM(H16:H18)</f>
        <v/>
      </c>
    </row>
    <row r="21" ht="15" customHeight="1" s="44">
      <c r="A21" s="52" t="inlineStr">
        <is>
          <t>C. Rechnungsabgrenzungsposten</t>
        </is>
      </c>
      <c r="C21" s="60" t="n">
        <v>2040</v>
      </c>
      <c r="D21" s="60" t="n">
        <v>2468</v>
      </c>
      <c r="E21" s="60" t="n">
        <v>3089</v>
      </c>
      <c r="F21" s="60" t="n">
        <v>3588</v>
      </c>
      <c r="G21" s="60" t="n">
        <v>581</v>
      </c>
      <c r="H21" s="60" t="n">
        <v>819</v>
      </c>
    </row>
    <row r="22" ht="16.5" customHeight="1" s="44">
      <c r="A22" s="66" t="inlineStr">
        <is>
          <t>BILANZSUMME AKTIVA</t>
        </is>
      </c>
      <c r="B22" s="67" t="n"/>
      <c r="C22" s="69">
        <f>C13+C19+C21</f>
        <v/>
      </c>
      <c r="D22" s="69">
        <f>D13+D19+D21</f>
        <v/>
      </c>
      <c r="E22" s="69">
        <f>E13+E19+E21</f>
        <v/>
      </c>
      <c r="F22" s="69">
        <f>F13+F19+F21</f>
        <v/>
      </c>
      <c r="G22" s="69">
        <f>G13+G19+G21</f>
        <v/>
      </c>
      <c r="H22" s="69">
        <f>H13+H19+H21</f>
        <v/>
      </c>
    </row>
    <row r="25" ht="16.5" customHeight="1" s="44">
      <c r="A25" s="52" t="inlineStr">
        <is>
          <t>PASSIVA</t>
        </is>
      </c>
    </row>
    <row r="26" ht="16.5" customHeight="1" s="44">
      <c r="A26" s="52" t="inlineStr">
        <is>
          <t>A. Eigenkapital</t>
        </is>
      </c>
      <c r="B26" s="53" t="inlineStr">
        <is>
          <t>(4)</t>
        </is>
      </c>
    </row>
    <row r="27" ht="15" customHeight="1" s="44">
      <c r="A27" s="58" t="inlineStr">
        <is>
          <t>I. Gezeichnetes Kapital</t>
        </is>
      </c>
      <c r="C27" s="60" t="n">
        <v>66013</v>
      </c>
      <c r="D27" s="60" t="n">
        <v>66013</v>
      </c>
      <c r="E27" s="60" t="n">
        <v>66013</v>
      </c>
      <c r="F27" s="60" t="n">
        <v>66013</v>
      </c>
      <c r="G27" s="60" t="n">
        <v>66013</v>
      </c>
      <c r="H27" s="60" t="n">
        <v>66013</v>
      </c>
    </row>
    <row r="28" ht="15" customHeight="1" s="44">
      <c r="A28" s="54" t="inlineStr">
        <is>
          <t>II. Kapitalrücklage</t>
        </is>
      </c>
      <c r="B28" s="55" t="n"/>
      <c r="C28" s="57" t="n">
        <v>25426</v>
      </c>
      <c r="D28" s="57" t="n">
        <v>25426</v>
      </c>
      <c r="E28" s="57" t="n">
        <v>25426</v>
      </c>
      <c r="F28" s="57" t="n">
        <v>25426</v>
      </c>
      <c r="G28" s="57" t="n">
        <v>25426</v>
      </c>
      <c r="H28" s="57" t="n">
        <v>35426</v>
      </c>
    </row>
    <row r="29" ht="15" customHeight="1" s="44">
      <c r="A29" s="58" t="inlineStr">
        <is>
          <t>III. Gewinnrücklagen</t>
        </is>
      </c>
      <c r="C29" s="60" t="n">
        <v>25131</v>
      </c>
      <c r="D29" s="60" t="n">
        <v>25131</v>
      </c>
      <c r="E29" s="60" t="n">
        <v>25131</v>
      </c>
      <c r="F29" s="60" t="n">
        <v>35131</v>
      </c>
      <c r="G29" s="60" t="n">
        <v>35131</v>
      </c>
      <c r="H29" s="60" t="n">
        <v>35131</v>
      </c>
    </row>
    <row r="30" ht="15" customHeight="1" s="44">
      <c r="A30" s="54" t="inlineStr">
        <is>
          <t>IV. Bilanzgewinn</t>
        </is>
      </c>
      <c r="B30" s="55" t="n"/>
      <c r="C30" s="57" t="n">
        <v>0</v>
      </c>
      <c r="D30" s="57" t="n">
        <v>0</v>
      </c>
      <c r="E30" s="57" t="n">
        <v>0</v>
      </c>
      <c r="F30" s="57" t="n">
        <v>0</v>
      </c>
      <c r="G30" s="57" t="n">
        <v>0</v>
      </c>
      <c r="H30" s="57" t="n">
        <v>0</v>
      </c>
    </row>
    <row r="31" ht="16.5" customHeight="1" s="44">
      <c r="A31" s="61" t="inlineStr">
        <is>
          <t>Eigenkapital</t>
        </is>
      </c>
      <c r="B31" s="62" t="n"/>
      <c r="C31" s="64">
        <f>SUM(C27:C30)</f>
        <v/>
      </c>
      <c r="D31" s="64">
        <f>SUM(D27:D30)</f>
        <v/>
      </c>
      <c r="E31" s="64">
        <f>SUM(E27:E30)</f>
        <v/>
      </c>
      <c r="F31" s="64">
        <f>SUM(F27:F30)</f>
        <v/>
      </c>
      <c r="G31" s="64">
        <f>SUM(G27:G30)</f>
        <v/>
      </c>
      <c r="H31" s="64">
        <f>SUM(H27:H30)</f>
        <v/>
      </c>
    </row>
    <row r="33" ht="15" customHeight="1" s="44">
      <c r="A33" s="52" t="inlineStr">
        <is>
          <t>B. Empfangene Ertragszuschüsse</t>
        </is>
      </c>
      <c r="C33" s="60" t="n">
        <v>26940</v>
      </c>
      <c r="D33" s="60" t="n">
        <v>28577</v>
      </c>
      <c r="E33" s="60" t="n">
        <v>28900</v>
      </c>
      <c r="F33" s="60" t="n">
        <v>28009</v>
      </c>
      <c r="G33" s="60" t="n">
        <v>27685</v>
      </c>
      <c r="H33" s="60" t="n">
        <v>29619</v>
      </c>
    </row>
    <row r="34" ht="15" customHeight="1" s="44">
      <c r="A34" s="70" t="inlineStr">
        <is>
          <t>C. Rückstellungen</t>
        </is>
      </c>
      <c r="B34" s="65" t="inlineStr">
        <is>
          <t>(5)</t>
        </is>
      </c>
      <c r="C34" s="57" t="n">
        <v>80885</v>
      </c>
      <c r="D34" s="57" t="n">
        <v>95422</v>
      </c>
      <c r="E34" s="57" t="n">
        <v>90794</v>
      </c>
      <c r="F34" s="57" t="n">
        <v>111630</v>
      </c>
      <c r="G34" s="57" t="n">
        <v>91974</v>
      </c>
      <c r="H34" s="57" t="n">
        <v>92117</v>
      </c>
    </row>
    <row r="35" ht="15" customHeight="1" s="44">
      <c r="A35" s="52" t="inlineStr">
        <is>
          <t>D. Verbindlichkeiten</t>
        </is>
      </c>
      <c r="B35" s="53" t="inlineStr">
        <is>
          <t>(6)</t>
        </is>
      </c>
      <c r="C35" s="60" t="n">
        <v>112359</v>
      </c>
      <c r="D35" s="60" t="n">
        <v>144380</v>
      </c>
      <c r="E35" s="60" t="n">
        <v>183564</v>
      </c>
      <c r="F35" s="60" t="n">
        <v>214912</v>
      </c>
      <c r="G35" s="60" t="n">
        <v>212874</v>
      </c>
      <c r="H35" s="60" t="n">
        <v>221277</v>
      </c>
    </row>
    <row r="36" ht="15" customHeight="1" s="44">
      <c r="A36" s="70" t="inlineStr">
        <is>
          <t>E. Rechnungsabgrenzungsposten</t>
        </is>
      </c>
      <c r="B36" s="55" t="n"/>
      <c r="C36" s="57" t="n">
        <v>0</v>
      </c>
      <c r="D36" s="57" t="n">
        <v>24</v>
      </c>
      <c r="E36" s="57" t="n">
        <v>0</v>
      </c>
      <c r="F36" s="57" t="n">
        <v>66</v>
      </c>
      <c r="G36" s="57" t="n">
        <v>0</v>
      </c>
      <c r="H36" s="57" t="n">
        <v>0</v>
      </c>
    </row>
    <row r="37" ht="16.5" customHeight="1" s="44">
      <c r="A37" s="66" t="inlineStr">
        <is>
          <t>BILANZSUMME PASSIVA</t>
        </is>
      </c>
      <c r="B37" s="67" t="n"/>
      <c r="C37" s="69">
        <f>C31+SUM(C33:C36)</f>
        <v/>
      </c>
      <c r="D37" s="69">
        <f>D31+SUM(D33:D36)</f>
        <v/>
      </c>
      <c r="E37" s="69">
        <f>E31+SUM(E33:E36)</f>
        <v/>
      </c>
      <c r="F37" s="69">
        <f>F31+SUM(F33:F36)</f>
        <v/>
      </c>
      <c r="G37" s="69">
        <f>G31+SUM(G33:G36)</f>
        <v/>
      </c>
      <c r="H37" s="69">
        <f>H31+SUM(H33:H36)</f>
        <v/>
      </c>
    </row>
    <row r="39" ht="15" customHeight="1" s="44">
      <c r="A39" s="71" t="inlineStr">
        <is>
          <t>Kontrolle: Bilanzsumme Aktiva ./. Passiva (muss 0 sein)</t>
        </is>
      </c>
      <c r="B39" s="72" t="n"/>
      <c r="C39" s="74">
        <f>C22-C37</f>
        <v/>
      </c>
      <c r="D39" s="74">
        <f>D22-D37</f>
        <v/>
      </c>
      <c r="E39" s="74">
        <f>E22-E37</f>
        <v/>
      </c>
      <c r="F39" s="74">
        <f>F22-F37</f>
        <v/>
      </c>
      <c r="G39" s="74">
        <f>G22-G37</f>
        <v/>
      </c>
      <c r="H39" s="74">
        <f>H22-H37</f>
        <v/>
      </c>
    </row>
    <row r="41" ht="12.75" customHeight="1" s="44">
      <c r="A41" s="75" t="inlineStr">
        <is>
          <t>Quelle: Unternehmensregister – ESWE Versorgungs AG, Wiesbaden, HRB 2105.</t>
        </is>
      </c>
    </row>
    <row r="42" ht="12.75" customHeight="1" s="44">
      <c r="A42" s="75" t="inlineStr">
        <is>
          <t>GJ 2020 und 2021: JA 2021, Seite 10  |  GJ 2022: JA 2022, Seite 11–12  |  GJ 2023: JA 2023, Seite 1–2  |  GJ 2024: JA 2024, Seite 1–2  |  GJ 2025: Geschäftsbericht 2025, Seite 73.</t>
        </is>
      </c>
    </row>
    <row r="43" ht="12.75" customHeight="1" s="44">
      <c r="A43" s="75" t="inlineStr">
        <is>
          <t>Blau = Eingabe direkt aus dem Jahresabschluss  |  Schwarz = Formel  |  Sämtliche Zwischen- und Endsummen sind Formeln.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H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60" customWidth="1" style="43" min="1" max="1"/>
    <col width="9" customWidth="1" style="43" min="2" max="2"/>
    <col width="14" customWidth="1" style="43" min="3" max="7"/>
  </cols>
  <sheetData>
    <row r="1" ht="18.75" customHeight="1" s="44">
      <c r="A1" s="45" t="inlineStr">
        <is>
          <t>ESWE Versorgungs AG, Wiesbaden</t>
        </is>
      </c>
    </row>
    <row r="2" ht="18" customHeight="1" s="44">
      <c r="A2" s="46" t="inlineStr">
        <is>
          <t>Gewinn- und Verlustrechnung</t>
        </is>
      </c>
    </row>
    <row r="3" ht="13.5" customHeight="1" s="44">
      <c r="A3" s="47" t="inlineStr">
        <is>
          <t>Gesamtkostenverfahren gem. § 275 Abs. 2 HGB – für die Zeit vom 1. Januar bis 31. Dezember</t>
        </is>
      </c>
    </row>
    <row r="4" ht="13.5" customHeight="1" s="44">
      <c r="A4" s="47" t="inlineStr">
        <is>
          <t>Angaben in T€</t>
        </is>
      </c>
    </row>
    <row r="6" ht="16.5" customHeight="1" s="44">
      <c r="A6" s="48" t="inlineStr">
        <is>
          <t>Position</t>
        </is>
      </c>
      <c r="B6" s="49" t="inlineStr">
        <is>
          <t>Anhang</t>
        </is>
      </c>
      <c r="C6" s="51" t="inlineStr">
        <is>
          <t>2020</t>
        </is>
      </c>
      <c r="D6" s="51" t="inlineStr">
        <is>
          <t>2021</t>
        </is>
      </c>
      <c r="E6" s="51" t="inlineStr">
        <is>
          <t>2022</t>
        </is>
      </c>
      <c r="F6" s="51" t="inlineStr">
        <is>
          <t>2023</t>
        </is>
      </c>
      <c r="G6" s="51" t="inlineStr">
        <is>
          <t>2024</t>
        </is>
      </c>
      <c r="H6" s="51" t="inlineStr">
        <is>
          <t>2025</t>
        </is>
      </c>
    </row>
    <row r="8" ht="15" customHeight="1" s="44">
      <c r="A8" s="54" t="inlineStr">
        <is>
          <t>1. Umsatzerlöse</t>
        </is>
      </c>
      <c r="B8" s="65" t="inlineStr">
        <is>
          <t>(10)</t>
        </is>
      </c>
      <c r="C8" s="57" t="n">
        <v>390642</v>
      </c>
      <c r="D8" s="57" t="n">
        <v>426532</v>
      </c>
      <c r="E8" s="57" t="n">
        <v>475683</v>
      </c>
      <c r="F8" s="57" t="n">
        <v>634062</v>
      </c>
      <c r="G8" s="57" t="n">
        <v>534653</v>
      </c>
      <c r="H8" s="57" t="n">
        <v>473770</v>
      </c>
    </row>
    <row r="9" ht="15" customHeight="1" s="44">
      <c r="A9" s="58" t="inlineStr">
        <is>
          <t>2. Veränderung des Bestands an unfertigen Leistungen</t>
        </is>
      </c>
      <c r="C9" s="60" t="n">
        <v>-175</v>
      </c>
      <c r="D9" s="60" t="n">
        <v>-332</v>
      </c>
      <c r="E9" s="60" t="n">
        <v>860</v>
      </c>
      <c r="F9" s="60" t="n">
        <v>811</v>
      </c>
      <c r="G9" s="60" t="n">
        <v>69</v>
      </c>
      <c r="H9" s="60" t="n">
        <v>-545</v>
      </c>
    </row>
    <row r="10" ht="15" customHeight="1" s="44">
      <c r="A10" s="54" t="inlineStr">
        <is>
          <t>3. Andere aktivierte Eigenleistungen</t>
        </is>
      </c>
      <c r="B10" s="65" t="inlineStr">
        <is>
          <t>(11)</t>
        </is>
      </c>
      <c r="C10" s="57" t="n">
        <v>2578</v>
      </c>
      <c r="D10" s="57" t="n">
        <v>3399</v>
      </c>
      <c r="E10" s="57" t="n">
        <v>3309</v>
      </c>
      <c r="F10" s="57" t="n">
        <v>1873</v>
      </c>
      <c r="G10" s="57" t="n">
        <v>2674</v>
      </c>
      <c r="H10" s="57" t="n">
        <v>2992</v>
      </c>
    </row>
    <row r="11" ht="15" customHeight="1" s="44">
      <c r="A11" s="58" t="inlineStr">
        <is>
          <t>4. Sonstige betriebliche Erträge</t>
        </is>
      </c>
      <c r="B11" s="53" t="inlineStr">
        <is>
          <t>(12)</t>
        </is>
      </c>
      <c r="C11" s="60" t="n">
        <v>2546</v>
      </c>
      <c r="D11" s="60" t="n">
        <v>2486</v>
      </c>
      <c r="E11" s="60" t="n">
        <v>5989</v>
      </c>
      <c r="F11" s="60" t="n">
        <v>6383</v>
      </c>
      <c r="G11" s="60" t="n">
        <v>30279</v>
      </c>
      <c r="H11" s="60" t="n">
        <v>9708</v>
      </c>
    </row>
    <row r="12" ht="15" customHeight="1" s="44">
      <c r="A12" s="54" t="inlineStr">
        <is>
          <t>5. Materialaufwand</t>
        </is>
      </c>
      <c r="B12" s="65" t="inlineStr">
        <is>
          <t>(13)</t>
        </is>
      </c>
      <c r="C12" s="57" t="n">
        <v>280935</v>
      </c>
      <c r="D12" s="57" t="n">
        <v>311386</v>
      </c>
      <c r="E12" s="57" t="n">
        <v>356302</v>
      </c>
      <c r="F12" s="57" t="n">
        <v>483927</v>
      </c>
      <c r="G12" s="57" t="n">
        <v>387160</v>
      </c>
      <c r="H12" s="57" t="n">
        <v>341791</v>
      </c>
    </row>
    <row r="13" ht="15" customHeight="1" s="44">
      <c r="A13" s="58" t="inlineStr">
        <is>
          <t>6. Personalaufwand</t>
        </is>
      </c>
      <c r="B13" s="53" t="inlineStr">
        <is>
          <t>(14)</t>
        </is>
      </c>
      <c r="C13" s="60" t="n">
        <v>50102</v>
      </c>
      <c r="D13" s="60" t="n">
        <v>50803</v>
      </c>
      <c r="E13" s="60" t="n">
        <v>52128</v>
      </c>
      <c r="F13" s="60" t="n">
        <v>52026</v>
      </c>
      <c r="G13" s="60" t="n">
        <v>55317</v>
      </c>
      <c r="H13" s="60" t="n">
        <v>60837</v>
      </c>
    </row>
    <row r="14" ht="15" customHeight="1" s="44">
      <c r="A14" s="54" t="inlineStr">
        <is>
          <t>7. Abschreibungen</t>
        </is>
      </c>
      <c r="B14" s="65" t="inlineStr">
        <is>
          <t>(15)</t>
        </is>
      </c>
      <c r="C14" s="57" t="n">
        <v>13344</v>
      </c>
      <c r="D14" s="57" t="n">
        <v>14180</v>
      </c>
      <c r="E14" s="57" t="n">
        <v>14545</v>
      </c>
      <c r="F14" s="57" t="n">
        <v>14570</v>
      </c>
      <c r="G14" s="57" t="n">
        <v>15673</v>
      </c>
      <c r="H14" s="57" t="n">
        <v>16427</v>
      </c>
    </row>
    <row r="15" ht="15" customHeight="1" s="44">
      <c r="A15" s="58" t="inlineStr">
        <is>
          <t>8. Sonstige betriebliche Aufwendungen</t>
        </is>
      </c>
      <c r="B15" s="53" t="inlineStr">
        <is>
          <t>(16)</t>
        </is>
      </c>
      <c r="C15" s="60" t="n">
        <v>28985</v>
      </c>
      <c r="D15" s="60" t="n">
        <v>35338</v>
      </c>
      <c r="E15" s="60" t="n">
        <v>26581</v>
      </c>
      <c r="F15" s="60" t="n">
        <v>49684</v>
      </c>
      <c r="G15" s="60" t="n">
        <v>36261</v>
      </c>
      <c r="H15" s="60" t="n">
        <v>38141</v>
      </c>
    </row>
    <row r="16" ht="16.5" customHeight="1" s="44">
      <c r="A16" s="61" t="inlineStr">
        <is>
          <t>9. Betriebliches Ergebnis</t>
        </is>
      </c>
      <c r="B16" s="62" t="n"/>
      <c r="C16" s="64">
        <f>SUM(C8:C11)-SUM(C12:C15)</f>
        <v/>
      </c>
      <c r="D16" s="64">
        <f>SUM(D8:D11)-SUM(D12:D15)</f>
        <v/>
      </c>
      <c r="E16" s="64">
        <f>SUM(E8:E11)-SUM(E12:E15)</f>
        <v/>
      </c>
      <c r="F16" s="64">
        <f>SUM(F8:F11)-SUM(F12:F15)</f>
        <v/>
      </c>
      <c r="G16" s="64">
        <f>SUM(G8:G11)-SUM(G12:G15)</f>
        <v/>
      </c>
      <c r="H16" s="64">
        <f>SUM(H8:H11)-SUM(H12:H15)</f>
        <v/>
      </c>
    </row>
    <row r="17" ht="15" customHeight="1" s="44">
      <c r="A17" s="58" t="inlineStr">
        <is>
          <t>10. Beteiligungsergebnis</t>
        </is>
      </c>
      <c r="B17" s="53" t="inlineStr">
        <is>
          <t>(17)</t>
        </is>
      </c>
      <c r="C17" s="60" t="n">
        <v>27606</v>
      </c>
      <c r="D17" s="60" t="n">
        <v>24466</v>
      </c>
      <c r="E17" s="60" t="n">
        <v>17558</v>
      </c>
      <c r="F17" s="60" t="n">
        <v>30534</v>
      </c>
      <c r="G17" s="60" t="n">
        <v>17765</v>
      </c>
      <c r="H17" s="60" t="n">
        <v>25060</v>
      </c>
    </row>
    <row r="18" ht="15" customHeight="1" s="44">
      <c r="A18" s="54" t="inlineStr">
        <is>
          <t>11. Abschreibungen auf Finanzanlagen</t>
        </is>
      </c>
      <c r="B18" s="65" t="inlineStr">
        <is>
          <t>(18)</t>
        </is>
      </c>
      <c r="C18" s="57" t="n">
        <v>0</v>
      </c>
      <c r="D18" s="57" t="n">
        <v>0</v>
      </c>
      <c r="E18" s="57" t="n">
        <v>2037</v>
      </c>
      <c r="F18" s="57" t="n">
        <v>0</v>
      </c>
      <c r="G18" s="57" t="n">
        <v>8965</v>
      </c>
      <c r="H18" s="57" t="n">
        <v>388</v>
      </c>
    </row>
    <row r="19" ht="15" customHeight="1" s="44">
      <c r="A19" s="58" t="inlineStr">
        <is>
          <t>12. Zinsergebnis</t>
        </is>
      </c>
      <c r="B19" s="53" t="inlineStr">
        <is>
          <t>(19)</t>
        </is>
      </c>
      <c r="C19" s="60" t="n">
        <v>-2064</v>
      </c>
      <c r="D19" s="60" t="n">
        <v>-767</v>
      </c>
      <c r="E19" s="60" t="n">
        <v>-49</v>
      </c>
      <c r="F19" s="60" t="n">
        <v>1281</v>
      </c>
      <c r="G19" s="60" t="n">
        <v>2218</v>
      </c>
      <c r="H19" s="60" t="n">
        <v>-751</v>
      </c>
    </row>
    <row r="20" ht="16.5" customHeight="1" s="44">
      <c r="A20" s="61" t="inlineStr">
        <is>
          <t>13. ERGEBNIS VOR STEUERN</t>
        </is>
      </c>
      <c r="B20" s="62" t="n"/>
      <c r="C20" s="64">
        <f>C16+C17-C18+C19</f>
        <v/>
      </c>
      <c r="D20" s="64">
        <f>D16+D17-D18+D19</f>
        <v/>
      </c>
      <c r="E20" s="64">
        <f>E16+E17-E18+E19</f>
        <v/>
      </c>
      <c r="F20" s="64">
        <f>F16+F17-F18+F19</f>
        <v/>
      </c>
      <c r="G20" s="64">
        <f>G16+G17-G18+G19</f>
        <v/>
      </c>
      <c r="H20" s="64">
        <f>H16+H17-H18+H19</f>
        <v/>
      </c>
    </row>
    <row r="21" ht="15" customHeight="1" s="44">
      <c r="A21" s="58" t="inlineStr">
        <is>
          <t>14. Steuern vom Einkommen und vom Ertrag</t>
        </is>
      </c>
      <c r="B21" s="53" t="inlineStr">
        <is>
          <t>(20)</t>
        </is>
      </c>
      <c r="C21" s="60" t="n">
        <v>3347</v>
      </c>
      <c r="D21" s="60" t="n">
        <v>3034</v>
      </c>
      <c r="E21" s="60" t="n">
        <v>3214</v>
      </c>
      <c r="F21" s="60" t="n">
        <v>3939</v>
      </c>
      <c r="G21" s="60" t="n">
        <v>5544</v>
      </c>
      <c r="H21" s="60" t="n">
        <v>3494</v>
      </c>
    </row>
    <row r="22" ht="16.5" customHeight="1" s="44">
      <c r="A22" s="61" t="inlineStr">
        <is>
          <t>15. ERGEBNIS NACH STEUERN</t>
        </is>
      </c>
      <c r="B22" s="62" t="n"/>
      <c r="C22" s="64">
        <f>C20-C21</f>
        <v/>
      </c>
      <c r="D22" s="64">
        <f>D20-D21</f>
        <v/>
      </c>
      <c r="E22" s="64">
        <f>E20-E21</f>
        <v/>
      </c>
      <c r="F22" s="64">
        <f>F20-F21</f>
        <v/>
      </c>
      <c r="G22" s="64">
        <f>G20-G21</f>
        <v/>
      </c>
      <c r="H22" s="64">
        <f>H20-H21</f>
        <v/>
      </c>
    </row>
    <row r="23" ht="15" customHeight="1" s="44">
      <c r="A23" s="58" t="inlineStr">
        <is>
          <t>16. Sonstige Steuern</t>
        </is>
      </c>
      <c r="B23" s="53" t="inlineStr">
        <is>
          <t>(21)</t>
        </is>
      </c>
      <c r="C23" s="60" t="n">
        <v>643</v>
      </c>
      <c r="D23" s="60" t="n">
        <v>300</v>
      </c>
      <c r="E23" s="60" t="n">
        <v>308</v>
      </c>
      <c r="F23" s="60" t="n">
        <v>237</v>
      </c>
      <c r="G23" s="60" t="n">
        <v>440</v>
      </c>
      <c r="H23" s="60" t="n">
        <v>271</v>
      </c>
    </row>
    <row r="24" ht="16.5" customHeight="1" s="44">
      <c r="A24" s="61" t="inlineStr">
        <is>
          <t>17. UNTERNEHMENSERGEBNIS / JAHRESÜBERSCHUSS</t>
        </is>
      </c>
      <c r="B24" s="62" t="n"/>
      <c r="C24" s="64">
        <f>C22-C23</f>
        <v/>
      </c>
      <c r="D24" s="64">
        <f>D22-D23</f>
        <v/>
      </c>
      <c r="E24" s="64">
        <f>E22-E23</f>
        <v/>
      </c>
      <c r="F24" s="64">
        <f>F22-F23</f>
        <v/>
      </c>
      <c r="G24" s="64">
        <f>G22-G23</f>
        <v/>
      </c>
      <c r="H24" s="64">
        <f>H22-H23</f>
        <v/>
      </c>
    </row>
    <row r="25" ht="15" customHeight="1" s="44">
      <c r="A25" s="58" t="inlineStr">
        <is>
          <t>18. Einstellung in die anderen Gewinnrücklagen</t>
        </is>
      </c>
      <c r="B25" s="53" t="inlineStr">
        <is>
          <t>(22)</t>
        </is>
      </c>
      <c r="C25" s="60" t="n">
        <v>0</v>
      </c>
      <c r="D25" s="60" t="n">
        <v>0</v>
      </c>
      <c r="E25" s="60" t="n">
        <v>0</v>
      </c>
      <c r="F25" s="60" t="n">
        <v>10000</v>
      </c>
      <c r="G25" s="60" t="n">
        <v>0</v>
      </c>
      <c r="H25" s="60" t="n">
        <v>0</v>
      </c>
    </row>
    <row r="26" ht="15" customHeight="1" s="44">
      <c r="A26" s="54" t="inlineStr">
        <is>
          <t>19. Aufwendungen für Ausgleichszahlung</t>
        </is>
      </c>
      <c r="B26" s="65" t="inlineStr">
        <is>
          <t>(23)</t>
        </is>
      </c>
      <c r="C26" s="57" t="n">
        <v>17980</v>
      </c>
      <c r="D26" s="57" t="n">
        <v>16295</v>
      </c>
      <c r="E26" s="57" t="n">
        <v>17312</v>
      </c>
      <c r="F26" s="57" t="n">
        <v>21109</v>
      </c>
      <c r="G26" s="57" t="n">
        <v>29779</v>
      </c>
      <c r="H26" s="57" t="n">
        <v>18768</v>
      </c>
    </row>
    <row r="27" ht="15" customHeight="1" s="44">
      <c r="A27" s="58" t="inlineStr">
        <is>
          <t>20. Aufgrund eines Ergebnisabführungsvertrags abgeführter Gewinn</t>
        </is>
      </c>
      <c r="B27" s="53" t="inlineStr">
        <is>
          <t>(24)</t>
        </is>
      </c>
      <c r="C27" s="60" t="n">
        <v>25797</v>
      </c>
      <c r="D27" s="60" t="n">
        <v>24448</v>
      </c>
      <c r="E27" s="60" t="n">
        <v>30923</v>
      </c>
      <c r="F27" s="60" t="n">
        <v>39452</v>
      </c>
      <c r="G27" s="60" t="n">
        <v>48519</v>
      </c>
      <c r="H27" s="60" t="n">
        <v>30117</v>
      </c>
    </row>
    <row r="28" ht="16.5" customHeight="1" s="44">
      <c r="A28" s="66" t="inlineStr">
        <is>
          <t>21. BILANZGEWINN</t>
        </is>
      </c>
      <c r="B28" s="67" t="n"/>
      <c r="C28" s="69">
        <f>C24-SUM(C25:C27)</f>
        <v/>
      </c>
      <c r="D28" s="69">
        <f>D24-SUM(D25:D27)</f>
        <v/>
      </c>
      <c r="E28" s="69">
        <f>E24-SUM(E25:E27)</f>
        <v/>
      </c>
      <c r="F28" s="69">
        <f>F24-SUM(F25:F27)</f>
        <v/>
      </c>
      <c r="G28" s="69">
        <f>G24-SUM(G25:G27)</f>
        <v/>
      </c>
      <c r="H28" s="69">
        <f>H24-SUM(H25:H27)</f>
        <v/>
      </c>
    </row>
    <row r="30" ht="15" customHeight="1" s="44">
      <c r="A30" s="71" t="inlineStr">
        <is>
          <t>Kontrolle: Bilanzgewinn GuV ./. Bilanzgewinn Bilanz (muss 0 sein)</t>
        </is>
      </c>
      <c r="B30" s="72" t="n"/>
      <c r="C30" s="74">
        <f>C28-Bilanz!C30</f>
        <v/>
      </c>
      <c r="D30" s="74">
        <f>D28-Bilanz!D30</f>
        <v/>
      </c>
      <c r="E30" s="74">
        <f>E28-Bilanz!E30</f>
        <v/>
      </c>
      <c r="F30" s="74">
        <f>F28-Bilanz!F30</f>
        <v/>
      </c>
      <c r="G30" s="74">
        <f>G28-Bilanz!G30</f>
        <v/>
      </c>
      <c r="H30" s="74">
        <f>H28-Bilanz!H30</f>
        <v/>
      </c>
    </row>
    <row r="32" ht="12.75" customHeight="1" s="44">
      <c r="A32" s="75" t="inlineStr">
        <is>
          <t>Quelle: Unternehmensregister – ESWE Versorgungs AG, Wiesbaden, HRB 2105.</t>
        </is>
      </c>
    </row>
    <row r="33" ht="12.75" customHeight="1" s="44">
      <c r="A33" s="75" t="inlineStr">
        <is>
          <t>GJ 2020 und 2021: JA 2021, Seite 11  |  GJ 2022: JA 2022, Seite 12–13  |  GJ 2023: JA 2023, Seite 2  |  GJ 2024: JA 2024, Seite 2  |  GJ 2025: Geschäftsbericht 2025, Seite 74.</t>
        </is>
      </c>
    </row>
    <row r="34" ht="12.75" customHeight="1" s="44">
      <c r="A34" s="75" t="inlineStr">
        <is>
          <t>Hinweis GJ 2022: Der JA 2022 weist unter Pos. 16 „Sonstige Steuern“ 307 T€ aus. 48.543 ./. 307 = 48.236, ausgewiesen sind jedoch 48.235 T€.</t>
        </is>
      </c>
    </row>
    <row r="35" ht="12.75" customHeight="1" s="44">
      <c r="A35" s="75" t="inlineStr">
        <is>
          <t>Der JA 2023 (Seite 23) nennt für 2022 308 T€, womit die Rechnung aufgeht. Angesetzt sind hier 308 T€.</t>
        </is>
      </c>
    </row>
    <row r="36" ht="12.75" customHeight="1" s="44">
      <c r="A36" s="75" t="inlineStr">
        <is>
          <t>Hinweis GJ 2020/2021: Der JA 2021 kennt die Positionen „Abschreibungen auf Finanzanlagen“ und „Einstellung in die anderen Gewinnrücklagen“ nicht;</t>
        </is>
      </c>
    </row>
    <row r="37" ht="12.75" customHeight="1" s="44">
      <c r="A37" s="75" t="inlineStr">
        <is>
          <t>sie sind mit 0 angesetzt, damit die Gliederung über alle fünf Jahre einheitlich ist. Die Nummerierung folgt dem JA 2024.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H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60" customWidth="1" style="43" min="1" max="1"/>
    <col width="9" customWidth="1" style="43" min="2" max="2"/>
    <col width="14" customWidth="1" style="43" min="3" max="7"/>
  </cols>
  <sheetData>
    <row r="1" ht="18.75" customHeight="1" s="44">
      <c r="A1" s="45" t="inlineStr">
        <is>
          <t>ESWE Versorgungs AG, Wiesbaden</t>
        </is>
      </c>
    </row>
    <row r="2" ht="18" customHeight="1" s="44">
      <c r="A2" s="46" t="inlineStr">
        <is>
          <t>Kapitalflussrechnung nach DRS 21</t>
        </is>
      </c>
    </row>
    <row r="3" ht="13.5" customHeight="1" s="44">
      <c r="A3" s="47" t="inlineStr">
        <is>
          <t>Verkürzte Darstellung – die Gesellschaft veröffentlicht die Kapitalflussrechnung nur in dieser Form</t>
        </is>
      </c>
    </row>
    <row r="4" ht="13.5" customHeight="1" s="44">
      <c r="A4" s="47" t="inlineStr">
        <is>
          <t>Angaben in Mio. €</t>
        </is>
      </c>
    </row>
    <row r="6" ht="16.5" customHeight="1" s="44">
      <c r="A6" s="48" t="inlineStr">
        <is>
          <t>Position</t>
        </is>
      </c>
      <c r="B6" s="49" t="inlineStr">
        <is>
          <t>Anhang</t>
        </is>
      </c>
      <c r="C6" s="51" t="inlineStr">
        <is>
          <t>2020</t>
        </is>
      </c>
      <c r="D6" s="51" t="inlineStr">
        <is>
          <t>2021</t>
        </is>
      </c>
      <c r="E6" s="51" t="inlineStr">
        <is>
          <t>2022</t>
        </is>
      </c>
      <c r="F6" s="51" t="inlineStr">
        <is>
          <t>2023</t>
        </is>
      </c>
      <c r="G6" s="51" t="inlineStr">
        <is>
          <t>2024</t>
        </is>
      </c>
      <c r="H6" s="51" t="inlineStr">
        <is>
          <t>2025</t>
        </is>
      </c>
    </row>
    <row r="8" ht="15" customHeight="1" s="44">
      <c r="A8" s="54" t="inlineStr">
        <is>
          <t>Cashflow aus laufender Geschäftstätigkeit</t>
        </is>
      </c>
      <c r="B8" s="55" t="n"/>
      <c r="C8" s="76" t="inlineStr">
        <is>
          <t>n. v.</t>
        </is>
      </c>
      <c r="D8" s="78" t="n">
        <v>49</v>
      </c>
      <c r="E8" s="78" t="n">
        <v>78</v>
      </c>
      <c r="F8" s="78" t="n">
        <v>47.3</v>
      </c>
      <c r="G8" s="78" t="n">
        <v>68.2</v>
      </c>
      <c r="H8" s="78" t="n">
        <v>42.7</v>
      </c>
    </row>
    <row r="9" ht="15" customHeight="1" s="44">
      <c r="A9" s="58" t="inlineStr">
        <is>
          <t>Cashflow aus Investitionstätigkeit</t>
        </is>
      </c>
      <c r="C9" s="80" t="n">
        <v>1.7</v>
      </c>
      <c r="D9" s="80" t="n">
        <v>-19.5</v>
      </c>
      <c r="E9" s="80" t="n">
        <v>-34</v>
      </c>
      <c r="F9" s="80" t="n">
        <v>8.9</v>
      </c>
      <c r="G9" s="80" t="n">
        <v>-5</v>
      </c>
      <c r="H9" s="80" t="n">
        <v>-8.300000000000001</v>
      </c>
    </row>
    <row r="10" ht="15" customHeight="1" s="44">
      <c r="A10" s="54" t="inlineStr">
        <is>
          <t>Cashflow aus Finanzierungstätigkeit</t>
        </is>
      </c>
      <c r="B10" s="55" t="n"/>
      <c r="C10" s="78" t="n">
        <v>-46.8</v>
      </c>
      <c r="D10" s="78" t="n">
        <v>-28.9</v>
      </c>
      <c r="E10" s="78" t="n">
        <v>-17</v>
      </c>
      <c r="F10" s="78" t="n">
        <v>-41.8</v>
      </c>
      <c r="G10" s="78" t="n">
        <v>-86.7</v>
      </c>
      <c r="H10" s="78" t="n">
        <v>-53.4</v>
      </c>
    </row>
    <row r="11" ht="16.5" customHeight="1" s="44">
      <c r="A11" s="61" t="inlineStr">
        <is>
          <t>Zahlungswirksame Veränderung des Finanzmittelfonds</t>
        </is>
      </c>
      <c r="B11" s="62" t="n"/>
      <c r="C11" s="82">
        <f>IF(COUNT(C8:C10)=3,SUM(C8:C10),"n. v.")</f>
        <v/>
      </c>
      <c r="D11" s="82">
        <f>IF(COUNT(D8:D10)=3,SUM(D8:D10),"n. v.")</f>
        <v/>
      </c>
      <c r="E11" s="82">
        <f>IF(COUNT(E8:E10)=3,SUM(E8:E10),"n. v.")</f>
        <v/>
      </c>
      <c r="F11" s="82">
        <f>IF(COUNT(F8:F10)=3,SUM(F8:F10),"n. v.")</f>
        <v/>
      </c>
      <c r="G11" s="82">
        <f>IF(COUNT(G8:G10)=3,SUM(G8:G10),"n. v.")</f>
        <v/>
      </c>
      <c r="H11" s="82">
        <f>IF(COUNT(H8:H10)=3,SUM(H8:H10),"n. v.")</f>
        <v/>
      </c>
    </row>
    <row r="13" ht="15" customHeight="1" s="44">
      <c r="A13" s="58" t="inlineStr">
        <is>
          <t>Finanzmittelfonds am Anfang der Periode</t>
        </is>
      </c>
      <c r="C13" s="83" t="inlineStr">
        <is>
          <t>n. v.</t>
        </is>
      </c>
      <c r="D13" s="80" t="n">
        <v>3</v>
      </c>
      <c r="E13" s="80" t="n">
        <v>3.6</v>
      </c>
      <c r="F13" s="80" t="n">
        <v>30.6</v>
      </c>
      <c r="G13" s="80" t="n">
        <v>45</v>
      </c>
      <c r="H13" s="80" t="n">
        <v>21.5</v>
      </c>
    </row>
    <row r="14" ht="16.5" customHeight="1" s="44">
      <c r="A14" s="66" t="inlineStr">
        <is>
          <t>Finanzmittelfonds am Ende der Periode</t>
        </is>
      </c>
      <c r="B14" s="67" t="n"/>
      <c r="C14" s="85">
        <f>IF(AND(ISNUMBER(C13),ISNUMBER(C11)),C13+C11,"n. v.")</f>
        <v/>
      </c>
      <c r="D14" s="85">
        <f>IF(AND(ISNUMBER(D13),ISNUMBER(D11)),D13+D11,"n. v.")</f>
        <v/>
      </c>
      <c r="E14" s="85">
        <f>IF(AND(ISNUMBER(E13),ISNUMBER(E11)),E13+E11,"n. v.")</f>
        <v/>
      </c>
      <c r="F14" s="85">
        <f>IF(AND(ISNUMBER(F13),ISNUMBER(F11)),F13+F11,"n. v.")</f>
        <v/>
      </c>
      <c r="G14" s="85">
        <f>IF(AND(ISNUMBER(G13),ISNUMBER(G11)),G13+G11,"n. v.")</f>
        <v/>
      </c>
      <c r="H14" s="85">
        <f>IF(AND(ISNUMBER(H13),ISNUMBER(H11)),H13+H11,"n. v.")</f>
        <v/>
      </c>
    </row>
    <row r="16" ht="15" customHeight="1" s="44">
      <c r="A16" s="58" t="inlineStr">
        <is>
          <t>nachrichtlich: veröffentlichter Endbestand lt. Lagebericht</t>
        </is>
      </c>
      <c r="C16" s="80" t="n">
        <v>3</v>
      </c>
      <c r="D16" s="80" t="n">
        <v>3.6</v>
      </c>
      <c r="E16" s="80" t="n">
        <v>30.6</v>
      </c>
      <c r="F16" s="80" t="n">
        <v>45</v>
      </c>
      <c r="G16" s="80" t="n">
        <v>21.5</v>
      </c>
      <c r="H16" s="80" t="n">
        <v>2.5</v>
      </c>
    </row>
    <row r="17" ht="15" customHeight="1" s="44">
      <c r="A17" s="71" t="inlineStr">
        <is>
          <t>Kontrolle: berechneter ./. veröffentlichter Endbestand (muss 0 sein)</t>
        </is>
      </c>
      <c r="B17" s="72" t="n"/>
      <c r="C17" s="87">
        <f>IF(ISNUMBER(C14),ROUND(C14-C16,1),"n. v.")</f>
        <v/>
      </c>
      <c r="D17" s="87">
        <f>IF(ISNUMBER(D14),ROUND(D14-D16,1),"n. v.")</f>
        <v/>
      </c>
      <c r="E17" s="87">
        <f>IF(ISNUMBER(E14),ROUND(E14-E16,1),"n. v.")</f>
        <v/>
      </c>
      <c r="F17" s="87">
        <f>IF(ISNUMBER(F14),ROUND(F14-F16,1),"n. v.")</f>
        <v/>
      </c>
      <c r="G17" s="87">
        <f>IF(ISNUMBER(G14),ROUND(G14-G16,1),"n. v.")</f>
        <v/>
      </c>
      <c r="H17" s="87">
        <f>IF(ISNUMBER(H14),ROUND(H14-H16,1),"n. v.")</f>
        <v/>
      </c>
    </row>
    <row r="18" ht="15" customHeight="1" s="44">
      <c r="A18" s="71" t="inlineStr">
        <is>
          <t>Kontrolle: Endbestand ./. Kassenbestand lt. Bilanz (muss 0 sein)</t>
        </is>
      </c>
      <c r="B18" s="72" t="n"/>
      <c r="C18" s="87">
        <f>IF(ISNUMBER(C14),ROUND(C14-Bilanz!C18/1000,1),"n. v.")</f>
        <v/>
      </c>
      <c r="D18" s="87">
        <f>IF(ISNUMBER(D14),ROUND(D14-Bilanz!D18/1000,1),"n. v.")</f>
        <v/>
      </c>
      <c r="E18" s="87">
        <f>IF(ISNUMBER(E14),ROUND(E14-Bilanz!E18/1000,1),"n. v.")</f>
        <v/>
      </c>
      <c r="F18" s="87">
        <f>IF(ISNUMBER(F14),ROUND(F14-Bilanz!F18/1000,1),"n. v.")</f>
        <v/>
      </c>
      <c r="G18" s="87">
        <f>IF(ISNUMBER(G14),ROUND(G14-Bilanz!G18/1000,1),"n. v.")</f>
        <v/>
      </c>
      <c r="H18" s="87">
        <f>IF(ISNUMBER(H14),ROUND(H14-Bilanz!H18/1000,1),"n. v.")</f>
        <v/>
      </c>
    </row>
    <row r="20" ht="12.75" customHeight="1" s="44">
      <c r="A20" s="75" t="inlineStr">
        <is>
          <t>Quelle: Lagebericht im jeweiligen Jahresabschluss – JA 2023 Seite 25, JA 2024 Seite 26, Geschäftsbericht 2025 Seite 18; GJ 2021 und 2022 aus dem Lageberichtstext.</t>
        </is>
      </c>
    </row>
    <row r="21" ht="12.75" customHeight="1" s="44">
      <c r="A21" s="75" t="inlineStr">
        <is>
          <t>Eine Überleitung der einzelnen DRS-21-Posten (Jahresergebnis, Abschreibungen, Working-Capital-Veränderungen usw.) ist aus den</t>
        </is>
      </c>
    </row>
    <row r="22" ht="12.75" customHeight="1" s="44">
      <c r="A22" s="75" t="inlineStr">
        <is>
          <t>veröffentlichten Abschlüssen nicht ableitbar – die Gesellschaft legt nur die drei Cashflow-Salden offen.</t>
        </is>
      </c>
    </row>
    <row r="23" ht="12.75" customHeight="1" s="44">
      <c r="A23" s="75" t="inlineStr">
        <is>
          <t>GJ 2020: Der JA 2021 nennt als Vorjahreswerte nur Investitions- und Finanzierungscashflow; der laufende Cashflow ist nicht beziffert (n. v.).</t>
        </is>
      </c>
    </row>
    <row r="24" ht="12.75" customHeight="1" s="44">
      <c r="A24" s="75" t="inlineStr">
        <is>
          <t>GJ 2022: Der JA 2022 nennt im Lagebericht 95,4 / -44,9 / -23,5 Mio. €, der JA 2023 für dasselbe Jahr 78,0 / -34,0 / -17,0 Mio. €.</t>
        </is>
      </c>
    </row>
    <row r="25" ht="12.75" customHeight="1" s="44">
      <c r="A25" s="75" t="inlineStr">
        <is>
          <t>Die Summe (27,0 Mio. €) ist in beiden Fassungen identisch – es handelt sich um eine Umgliederung. Angesetzt sind die Werte des JA 2023.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62" customWidth="1" style="44" min="1" max="1"/>
    <col width="9" customWidth="1" style="44" min="2" max="2"/>
    <col width="13" customWidth="1" style="44" min="3" max="3"/>
    <col width="13" customWidth="1" style="44" min="4" max="4"/>
    <col width="13" customWidth="1" style="44" min="5" max="5"/>
    <col width="13" customWidth="1" style="44" min="6" max="6"/>
    <col width="13" customWidth="1" style="44" min="7" max="7"/>
    <col width="13" customWidth="1" style="44" min="8" max="8"/>
  </cols>
  <sheetData>
    <row r="1">
      <c r="A1" s="98" t="inlineStr">
        <is>
          <t>ESWE Versorgungs AG, Wiesbaden</t>
        </is>
      </c>
    </row>
    <row r="2">
      <c r="A2" s="98" t="inlineStr">
        <is>
          <t>Ergänzende Angaben aus Anhang und Lagebericht</t>
        </is>
      </c>
    </row>
    <row r="3">
      <c r="A3" s="99" t="inlineStr">
        <is>
          <t>Grundlage für Net Debt und Capex – zeilengetreu aus den Anhangangaben (3), (5), (6) und der Investitionsübersicht im Lagebericht</t>
        </is>
      </c>
    </row>
    <row r="4">
      <c r="A4" s="99" t="inlineStr">
        <is>
          <t>Angaben in T€</t>
        </is>
      </c>
    </row>
    <row r="6">
      <c r="A6" s="100" t="inlineStr">
        <is>
          <t>Position</t>
        </is>
      </c>
      <c r="B6" s="100" t="inlineStr">
        <is>
          <t>Anhang</t>
        </is>
      </c>
      <c r="C6" s="101" t="inlineStr">
        <is>
          <t>31.12.2020</t>
        </is>
      </c>
      <c r="D6" s="101" t="inlineStr">
        <is>
          <t>31.12.2021</t>
        </is>
      </c>
      <c r="E6" s="101" t="inlineStr">
        <is>
          <t>31.12.2022</t>
        </is>
      </c>
      <c r="F6" s="101" t="inlineStr">
        <is>
          <t>31.12.2023</t>
        </is>
      </c>
      <c r="G6" s="101" t="inlineStr">
        <is>
          <t>31.12.2024</t>
        </is>
      </c>
      <c r="H6" s="101" t="inlineStr">
        <is>
          <t>31.12.2025</t>
        </is>
      </c>
    </row>
    <row r="8">
      <c r="A8" s="98" t="inlineStr">
        <is>
          <t>Verschuldungskomponenten</t>
        </is>
      </c>
    </row>
    <row r="9">
      <c r="A9" s="102" t="inlineStr">
        <is>
          <t>Verbindlichkeiten gegenüber Kreditinstituten</t>
        </is>
      </c>
      <c r="B9" s="102" t="inlineStr">
        <is>
          <t>(6)</t>
        </is>
      </c>
      <c r="C9" s="103" t="n">
        <v>66060</v>
      </c>
      <c r="D9" s="103" t="n">
        <v>79000</v>
      </c>
      <c r="E9" s="103" t="n">
        <v>98659</v>
      </c>
      <c r="F9" s="103" t="n">
        <v>110748</v>
      </c>
      <c r="G9" s="103" t="n">
        <v>119911</v>
      </c>
      <c r="H9" s="103" t="n">
        <v>124179</v>
      </c>
    </row>
    <row r="10">
      <c r="A10" s="102" t="inlineStr">
        <is>
          <t>Rückstellungen für Pensionen und ähnliche Verpflichtungen</t>
        </is>
      </c>
      <c r="B10" s="102" t="inlineStr">
        <is>
          <t>(5)</t>
        </is>
      </c>
      <c r="C10" s="103" t="n">
        <v>8866</v>
      </c>
      <c r="D10" s="103" t="n">
        <v>9041</v>
      </c>
      <c r="E10" s="103" t="n">
        <v>9230</v>
      </c>
      <c r="F10" s="103" t="n">
        <v>9213</v>
      </c>
      <c r="G10" s="103" t="n">
        <v>8483</v>
      </c>
      <c r="H10" s="103" t="n">
        <v>8066</v>
      </c>
    </row>
    <row r="11">
      <c r="A11" s="102" t="inlineStr">
        <is>
          <t>Verbindlichkeiten gegenüber verbundenen Unternehmen</t>
        </is>
      </c>
      <c r="B11" s="102" t="inlineStr">
        <is>
          <t>(6)</t>
        </is>
      </c>
      <c r="C11" s="103" t="n">
        <v>955</v>
      </c>
      <c r="D11" s="103" t="n">
        <v>10250</v>
      </c>
      <c r="E11" s="103" t="n">
        <v>14709</v>
      </c>
      <c r="F11" s="103" t="n">
        <v>9310</v>
      </c>
      <c r="G11" s="103" t="n">
        <v>24487</v>
      </c>
      <c r="H11" s="103" t="n">
        <v>26903</v>
      </c>
    </row>
    <row r="12">
      <c r="A12" s="102" t="inlineStr">
        <is>
          <t>Verbindlichkeiten gegenüber Unternehmen, mit denen ein Beteiligungsverhältnis besteht</t>
        </is>
      </c>
      <c r="B12" s="102" t="inlineStr">
        <is>
          <t>(6)</t>
        </is>
      </c>
      <c r="C12" s="103" t="n">
        <v>20153</v>
      </c>
      <c r="D12" s="103" t="n">
        <v>18608</v>
      </c>
      <c r="E12" s="103" t="n">
        <v>22424</v>
      </c>
      <c r="F12" s="103" t="n">
        <v>24293</v>
      </c>
      <c r="G12" s="103" t="n">
        <v>32764</v>
      </c>
      <c r="H12" s="103" t="n">
        <v>20741</v>
      </c>
    </row>
    <row r="13">
      <c r="A13" s="102" t="inlineStr">
        <is>
          <t xml:space="preserve">   davon gegenüber Gesellschafter (Ausgleichszahlung Thüga AG)</t>
        </is>
      </c>
      <c r="B13" s="102" t="inlineStr">
        <is>
          <t>(6)</t>
        </is>
      </c>
      <c r="C13" s="103" t="n">
        <v>17980</v>
      </c>
      <c r="D13" s="103" t="n">
        <v>16295</v>
      </c>
      <c r="E13" s="103" t="n">
        <v>17312</v>
      </c>
      <c r="F13" s="103" t="n">
        <v>21109</v>
      </c>
      <c r="G13" s="103" t="n">
        <v>29779</v>
      </c>
      <c r="H13" s="103" t="n">
        <v>18768</v>
      </c>
    </row>
    <row r="14">
      <c r="A14" s="102" t="inlineStr">
        <is>
          <t>Forderungen gegen verbundene Unternehmen</t>
        </is>
      </c>
      <c r="B14" s="102" t="inlineStr">
        <is>
          <t>(3)</t>
        </is>
      </c>
      <c r="C14" s="103" t="n">
        <v>12234</v>
      </c>
      <c r="D14" s="103" t="n">
        <v>11518</v>
      </c>
      <c r="E14" s="103" t="n">
        <v>6763</v>
      </c>
      <c r="F14" s="103" t="n">
        <v>7033</v>
      </c>
      <c r="G14" s="103" t="n">
        <v>4521</v>
      </c>
      <c r="H14" s="103" t="n">
        <v>7716</v>
      </c>
    </row>
    <row r="15">
      <c r="A15" s="102" t="inlineStr">
        <is>
          <t>Forderungen gegen Unternehmen, mit denen ein Beteiligungsverhältnis besteht</t>
        </is>
      </c>
      <c r="B15" s="102" t="inlineStr">
        <is>
          <t>(3)</t>
        </is>
      </c>
      <c r="C15" s="103" t="n">
        <v>3071</v>
      </c>
      <c r="D15" s="103" t="n">
        <v>3658</v>
      </c>
      <c r="E15" s="103" t="n">
        <v>3656</v>
      </c>
      <c r="F15" s="103" t="n">
        <v>2410</v>
      </c>
      <c r="G15" s="103" t="n">
        <v>3379</v>
      </c>
      <c r="H15" s="103" t="n">
        <v>5977</v>
      </c>
    </row>
    <row r="17">
      <c r="A17" s="98" t="inlineStr">
        <is>
          <t>Übrige Verbindlichkeitenposten (nur zur Abstimmung gegen die Bilanz)</t>
        </is>
      </c>
    </row>
    <row r="18">
      <c r="A18" s="102" t="inlineStr">
        <is>
          <t>Erhaltene Anzahlungen</t>
        </is>
      </c>
      <c r="B18" s="102" t="inlineStr">
        <is>
          <t>(6)</t>
        </is>
      </c>
      <c r="C18" s="103" t="n">
        <v>57</v>
      </c>
      <c r="D18" s="103" t="n">
        <v>0</v>
      </c>
      <c r="E18" s="103" t="n">
        <v>0</v>
      </c>
      <c r="F18" s="103" t="n">
        <v>0</v>
      </c>
      <c r="G18" s="103" t="n">
        <v>0</v>
      </c>
      <c r="H18" s="103" t="n">
        <v>0</v>
      </c>
    </row>
    <row r="19">
      <c r="A19" s="102" t="inlineStr">
        <is>
          <t>Verbindlichkeiten aus Lieferungen und Leistungen</t>
        </is>
      </c>
      <c r="B19" s="102" t="inlineStr">
        <is>
          <t>(6)</t>
        </is>
      </c>
      <c r="C19" s="103" t="n">
        <v>20507</v>
      </c>
      <c r="D19" s="103" t="n">
        <v>25196</v>
      </c>
      <c r="E19" s="103" t="n">
        <v>42633</v>
      </c>
      <c r="F19" s="103" t="n">
        <v>44546</v>
      </c>
      <c r="G19" s="103" t="n">
        <v>29531</v>
      </c>
      <c r="H19" s="103" t="n">
        <v>40796</v>
      </c>
    </row>
    <row r="20">
      <c r="A20" s="102" t="inlineStr">
        <is>
          <t>Sonstige Verbindlichkeiten</t>
        </is>
      </c>
      <c r="B20" s="102" t="inlineStr">
        <is>
          <t>(6)</t>
        </is>
      </c>
      <c r="C20" s="103" t="n">
        <v>4627</v>
      </c>
      <c r="D20" s="103" t="n">
        <v>11326</v>
      </c>
      <c r="E20" s="103" t="n">
        <v>5139</v>
      </c>
      <c r="F20" s="103" t="n">
        <v>26015</v>
      </c>
      <c r="G20" s="103" t="n">
        <v>6182</v>
      </c>
      <c r="H20" s="103" t="n">
        <v>8658</v>
      </c>
    </row>
    <row r="21">
      <c r="A21" s="102" t="inlineStr">
        <is>
          <t>Summe Verbindlichkeiten laut Anhang</t>
        </is>
      </c>
      <c r="C21" s="104">
        <f>C9+C11+C12+SUM(C18:C20)</f>
        <v/>
      </c>
      <c r="D21" s="104">
        <f>D9+D11+D12+SUM(D18:D20)</f>
        <v/>
      </c>
      <c r="E21" s="104">
        <f>E9+E11+E12+SUM(E18:E20)</f>
        <v/>
      </c>
      <c r="F21" s="104">
        <f>F9+F11+F12+SUM(F18:F20)</f>
        <v/>
      </c>
      <c r="G21" s="104">
        <f>G9+G11+G12+SUM(G18:G20)</f>
        <v/>
      </c>
      <c r="H21" s="104">
        <f>H9+H11+H12+SUM(H18:H20)</f>
        <v/>
      </c>
    </row>
    <row r="22">
      <c r="A22" s="102" t="inlineStr">
        <is>
          <t>nachrichtlich: Verbindlichkeiten laut Bilanz</t>
        </is>
      </c>
      <c r="C22" s="105">
        <f>Bilanz!C35</f>
        <v/>
      </c>
      <c r="D22" s="105">
        <f>Bilanz!D35</f>
        <v/>
      </c>
      <c r="E22" s="105">
        <f>Bilanz!E35</f>
        <v/>
      </c>
      <c r="F22" s="105">
        <f>Bilanz!F35</f>
        <v/>
      </c>
      <c r="G22" s="105">
        <f>Bilanz!G35</f>
        <v/>
      </c>
      <c r="H22" s="105">
        <f>Bilanz!H35</f>
        <v/>
      </c>
    </row>
    <row r="23">
      <c r="A23" s="106" t="inlineStr">
        <is>
          <t>Kontrolle: Anhang ./. Bilanz (muss 0 sein)</t>
        </is>
      </c>
      <c r="C23" s="107">
        <f>C21-C22</f>
        <v/>
      </c>
      <c r="D23" s="107">
        <f>D21-D22</f>
        <v/>
      </c>
      <c r="E23" s="107">
        <f>E21-E22</f>
        <v/>
      </c>
      <c r="F23" s="107">
        <f>F21-F22</f>
        <v/>
      </c>
      <c r="G23" s="107">
        <f>G21-G22</f>
        <v/>
      </c>
      <c r="H23" s="107">
        <f>H21-H22</f>
        <v/>
      </c>
    </row>
    <row r="25">
      <c r="A25" s="98" t="inlineStr">
        <is>
          <t>Gesamtinvestitionen nach Unternehmensbereichen (Lagebericht)</t>
        </is>
      </c>
    </row>
    <row r="26">
      <c r="A26" s="102" t="inlineStr">
        <is>
          <t>Stromversorgung</t>
        </is>
      </c>
      <c r="C26" s="103" t="n">
        <v>2885</v>
      </c>
      <c r="D26" s="103" t="n">
        <v>2876</v>
      </c>
      <c r="E26" s="103" t="n">
        <v>2173</v>
      </c>
      <c r="F26" s="103" t="n">
        <v>524</v>
      </c>
      <c r="G26" s="103" t="n">
        <v>568</v>
      </c>
      <c r="H26" s="103" t="n">
        <v>982</v>
      </c>
    </row>
    <row r="27">
      <c r="A27" s="102" t="inlineStr">
        <is>
          <t>Gasversorgung</t>
        </is>
      </c>
      <c r="C27" s="103" t="n">
        <v>14161</v>
      </c>
      <c r="D27" s="103" t="n">
        <v>9439</v>
      </c>
      <c r="E27" s="103" t="n">
        <v>4249</v>
      </c>
      <c r="F27" s="103" t="n">
        <v>2139</v>
      </c>
      <c r="G27" s="103" t="n">
        <v>2393</v>
      </c>
      <c r="H27" s="103" t="n">
        <v>2991</v>
      </c>
    </row>
    <row r="28">
      <c r="A28" s="102" t="inlineStr">
        <is>
          <t>Wasserversorgung</t>
        </is>
      </c>
      <c r="C28" s="103" t="n">
        <v>4482</v>
      </c>
      <c r="D28" s="103" t="n">
        <v>7505</v>
      </c>
      <c r="E28" s="103" t="n">
        <v>11746</v>
      </c>
      <c r="F28" s="103" t="n">
        <v>5922</v>
      </c>
      <c r="G28" s="103" t="n">
        <v>7867</v>
      </c>
      <c r="H28" s="103" t="n">
        <v>13969</v>
      </c>
    </row>
    <row r="29">
      <c r="A29" s="102" t="inlineStr">
        <is>
          <t>Wärmeversorgung</t>
        </is>
      </c>
      <c r="C29" s="103" t="n">
        <v>4281</v>
      </c>
      <c r="D29" s="103" t="n">
        <v>7456</v>
      </c>
      <c r="E29" s="103" t="n">
        <v>8593</v>
      </c>
      <c r="F29" s="103" t="n">
        <v>9995</v>
      </c>
      <c r="G29" s="103" t="n">
        <v>8561</v>
      </c>
      <c r="H29" s="103" t="n">
        <v>6503</v>
      </c>
    </row>
    <row r="30">
      <c r="A30" s="102" t="inlineStr">
        <is>
          <t>Telekommunikation</t>
        </is>
      </c>
      <c r="C30" s="103" t="n">
        <v>0</v>
      </c>
      <c r="D30" s="103" t="n">
        <v>0</v>
      </c>
      <c r="E30" s="103" t="n">
        <v>0</v>
      </c>
      <c r="F30" s="103" t="n">
        <v>919</v>
      </c>
      <c r="G30" s="103" t="n">
        <v>1259</v>
      </c>
      <c r="H30" s="103" t="n">
        <v>0</v>
      </c>
    </row>
    <row r="31">
      <c r="A31" s="102" t="inlineStr">
        <is>
          <t>Sonstige Bereiche</t>
        </is>
      </c>
      <c r="C31" s="103" t="n">
        <v>1160</v>
      </c>
      <c r="D31" s="103" t="n">
        <v>1748</v>
      </c>
      <c r="E31" s="103" t="n">
        <v>1059</v>
      </c>
      <c r="F31" s="103" t="n">
        <v>376</v>
      </c>
      <c r="G31" s="103" t="n">
        <v>1173</v>
      </c>
      <c r="H31" s="103" t="n">
        <v>3377</v>
      </c>
    </row>
    <row r="32">
      <c r="A32" s="102" t="inlineStr">
        <is>
          <t>Gemeinsame Bereiche</t>
        </is>
      </c>
      <c r="C32" s="103" t="n">
        <v>0</v>
      </c>
      <c r="D32" s="103" t="n">
        <v>0</v>
      </c>
      <c r="E32" s="103" t="n">
        <v>1851</v>
      </c>
      <c r="F32" s="103" t="n">
        <v>5599</v>
      </c>
      <c r="G32" s="103" t="n">
        <v>3426</v>
      </c>
      <c r="H32" s="103" t="n">
        <v>3957</v>
      </c>
    </row>
    <row r="33">
      <c r="A33" s="102" t="inlineStr">
        <is>
          <t>Beteiligungen (Finanzanlagen)</t>
        </is>
      </c>
      <c r="C33" s="103" t="n">
        <v>1735</v>
      </c>
      <c r="D33" s="103" t="n">
        <v>14169</v>
      </c>
      <c r="E33" s="103" t="n">
        <v>24003</v>
      </c>
      <c r="F33" s="103" t="n">
        <v>1868</v>
      </c>
      <c r="G33" s="103" t="n">
        <v>2206</v>
      </c>
      <c r="H33" s="103" t="n">
        <v>5229</v>
      </c>
    </row>
    <row r="34">
      <c r="A34" s="102" t="inlineStr">
        <is>
          <t>Gesamtinvestitionen (inkl. Finanzanlagen)</t>
        </is>
      </c>
      <c r="C34" s="104">
        <f>SUM(C26:C33)</f>
        <v/>
      </c>
      <c r="D34" s="104">
        <f>SUM(D26:D33)</f>
        <v/>
      </c>
      <c r="E34" s="104">
        <f>SUM(E26:E33)</f>
        <v/>
      </c>
      <c r="F34" s="104">
        <f>SUM(F26:F33)</f>
        <v/>
      </c>
      <c r="G34" s="104">
        <f>SUM(G26:G33)</f>
        <v/>
      </c>
      <c r="H34" s="104">
        <f>SUM(H26:H33)</f>
        <v/>
      </c>
    </row>
    <row r="35">
      <c r="A35" s="102" t="inlineStr">
        <is>
          <t>Sach- und immaterielle Investitionen (ohne Finanzanlagen)</t>
        </is>
      </c>
      <c r="C35" s="104">
        <f>C34-C33</f>
        <v/>
      </c>
      <c r="D35" s="104">
        <f>D34-D33</f>
        <v/>
      </c>
      <c r="E35" s="104">
        <f>E34-E33</f>
        <v/>
      </c>
      <c r="F35" s="104">
        <f>F34-F33</f>
        <v/>
      </c>
      <c r="G35" s="104">
        <f>G34-G33</f>
        <v/>
      </c>
      <c r="H35" s="104">
        <f>H34-H33</f>
        <v/>
      </c>
    </row>
    <row r="36">
      <c r="A36" s="102" t="inlineStr">
        <is>
          <t>nachrichtlich: ausgewiesene Summe laut Lagebericht</t>
        </is>
      </c>
      <c r="C36" s="103" t="n">
        <v>28704</v>
      </c>
      <c r="D36" s="103" t="n">
        <v>43193</v>
      </c>
      <c r="E36" s="103" t="n">
        <v>53674</v>
      </c>
      <c r="F36" s="103" t="n">
        <v>27342</v>
      </c>
      <c r="G36" s="103" t="n">
        <v>27453</v>
      </c>
      <c r="H36" s="103" t="n">
        <v>37008</v>
      </c>
    </row>
    <row r="37">
      <c r="A37" s="106" t="inlineStr">
        <is>
          <t>Kontrolle: Summe der Bereiche ./. ausgewiesene Summe (muss 0 sein)</t>
        </is>
      </c>
      <c r="C37" s="107">
        <f>C34-C36</f>
        <v/>
      </c>
      <c r="D37" s="107">
        <f>D34-D36</f>
        <v/>
      </c>
      <c r="E37" s="107">
        <f>E34-E36</f>
        <v/>
      </c>
      <c r="F37" s="107">
        <f>F34-F36</f>
        <v/>
      </c>
      <c r="G37" s="107">
        <f>G34-G36</f>
        <v/>
      </c>
      <c r="H37" s="107">
        <f>H34-H36</f>
        <v/>
      </c>
    </row>
    <row r="39">
      <c r="A39" s="98" t="inlineStr">
        <is>
          <t>Eigenkapitalquote laut Lagebericht (zur Kontrolle)</t>
        </is>
      </c>
    </row>
    <row r="40">
      <c r="A40" s="102" t="inlineStr">
        <is>
          <t>Eigenkapitalquote laut Lagebericht</t>
        </is>
      </c>
      <c r="C40" s="108" t="n">
        <v>0.346</v>
      </c>
      <c r="D40" s="108" t="n">
        <v>0.303</v>
      </c>
      <c r="E40" s="108" t="n">
        <v>0.278</v>
      </c>
      <c r="F40" s="108" t="n">
        <v>0.263</v>
      </c>
      <c r="G40" s="108" t="n">
        <v>0.276</v>
      </c>
      <c r="H40" s="108" t="n">
        <v>0.285</v>
      </c>
    </row>
    <row r="42">
      <c r="A42" s="99" t="inlineStr">
        <is>
          <t>Quellen: Anhangangaben (3) Forderungen, (5) Rückstellungen und (6) Verbindlichkeiten sowie Investitionsübersicht im Lagebericht.</t>
        </is>
      </c>
    </row>
    <row r="43">
      <c r="A43" s="99" t="inlineStr">
        <is>
          <t>GJ 2020: JA 2021, Seiten 14–17, 22  |  GJ 2021: JA 2021 bzw. JA 2022  |  GJ 2022: JA 2022 / JA 2023  |  GJ 2023: JA 2023 / JA 2024  |  GJ 2024: JA 2024, Seiten 5–8, 25  |  GJ 2025: Geschäftsbericht 2025, Seiten 18, 80–82.</t>
        </is>
      </c>
    </row>
    <row r="44">
      <c r="A44" s="99" t="inlineStr">
        <is>
          <t>Vorjahreswerte sind jeweils der Fassung des jüngeren Abschlusses entnommen (siehe Blatt „Quellen &amp; Hinweise“, Abweichungen 4 bis 7).</t>
        </is>
      </c>
    </row>
    <row r="45">
      <c r="A45" s="99" t="inlineStr">
        <is>
          <t>Blau = Eingabe direkt aus dem Abschluss  |  Schwarz = Formel  |  Grün = Verweis auf ein anderes Blatt  |  Sämtliche Summen sind Formeln.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selection activeCell="A1" sqref="A1"/>
    </sheetView>
  </sheetViews>
  <sheetFormatPr baseColWidth="8" defaultRowHeight="15"/>
  <cols>
    <col width="62" customWidth="1" style="44" min="1" max="1"/>
    <col width="9" customWidth="1" style="44" min="2" max="2"/>
    <col width="13" customWidth="1" style="44" min="3" max="3"/>
    <col width="13" customWidth="1" style="44" min="4" max="4"/>
    <col width="13" customWidth="1" style="44" min="5" max="5"/>
    <col width="13" customWidth="1" style="44" min="6" max="6"/>
    <col width="13" customWidth="1" style="44" min="7" max="7"/>
    <col width="13" customWidth="1" style="44" min="8" max="8"/>
  </cols>
  <sheetData>
    <row r="1">
      <c r="A1" s="98" t="inlineStr">
        <is>
          <t>ESWE Versorgungs AG, Wiesbaden</t>
        </is>
      </c>
    </row>
    <row r="2">
      <c r="A2" s="98" t="inlineStr">
        <is>
          <t>Overview Financial Statements 2020 – 2025</t>
        </is>
      </c>
    </row>
    <row r="3">
      <c r="A3" s="99" t="inlineStr">
        <is>
          <t>Alle Werte sind Verweise (grün) auf die Blätter Bilanz, GuV, Kapitalflussrechnung und „Anhang &amp; Capex“ – keine Doppelerfassung; Kennzahlen sind Formeln (schwarz)</t>
        </is>
      </c>
    </row>
    <row r="4">
      <c r="A4" s="99" t="inlineStr">
        <is>
          <t>Angaben in T€, sofern nicht anders vermerkt</t>
        </is>
      </c>
    </row>
    <row r="6">
      <c r="A6" s="100" t="inlineStr">
        <is>
          <t>Position</t>
        </is>
      </c>
      <c r="B6" s="100" t="inlineStr">
        <is>
          <t>Anhang</t>
        </is>
      </c>
      <c r="C6" s="101" t="inlineStr">
        <is>
          <t>2020</t>
        </is>
      </c>
      <c r="D6" s="101" t="inlineStr">
        <is>
          <t>2021</t>
        </is>
      </c>
      <c r="E6" s="101" t="inlineStr">
        <is>
          <t>2022</t>
        </is>
      </c>
      <c r="F6" s="101" t="inlineStr">
        <is>
          <t>2023</t>
        </is>
      </c>
      <c r="G6" s="101" t="inlineStr">
        <is>
          <t>2024</t>
        </is>
      </c>
      <c r="H6" s="101" t="inlineStr">
        <is>
          <t>2025</t>
        </is>
      </c>
    </row>
    <row r="8">
      <c r="A8" s="98" t="inlineStr">
        <is>
          <t>Ertragslage</t>
        </is>
      </c>
    </row>
    <row r="9">
      <c r="A9" s="102" t="inlineStr">
        <is>
          <t>Umsatzerlöse</t>
        </is>
      </c>
      <c r="C9" s="105">
        <f>GuV!C8</f>
        <v/>
      </c>
      <c r="D9" s="105">
        <f>GuV!D8</f>
        <v/>
      </c>
      <c r="E9" s="105">
        <f>GuV!E8</f>
        <v/>
      </c>
      <c r="F9" s="105">
        <f>GuV!F8</f>
        <v/>
      </c>
      <c r="G9" s="105">
        <f>GuV!G8</f>
        <v/>
      </c>
      <c r="H9" s="105">
        <f>GuV!H8</f>
        <v/>
      </c>
    </row>
    <row r="10">
      <c r="A10" s="102" t="inlineStr">
        <is>
          <t>Umsatzwachstum in %</t>
        </is>
      </c>
      <c r="C10" s="116" t="inlineStr">
        <is>
          <t>n. v.</t>
        </is>
      </c>
      <c r="D10" s="109">
        <f>D9/C9-1</f>
        <v/>
      </c>
      <c r="E10" s="109">
        <f>E9/D9-1</f>
        <v/>
      </c>
      <c r="F10" s="109">
        <f>F9/E9-1</f>
        <v/>
      </c>
      <c r="G10" s="109">
        <f>G9/F9-1</f>
        <v/>
      </c>
      <c r="H10" s="109">
        <f>H9/G9-1</f>
        <v/>
      </c>
    </row>
    <row r="11">
      <c r="A11" s="102" t="inlineStr">
        <is>
          <t>Veränderung des Bestands an unfertigen Leistungen</t>
        </is>
      </c>
      <c r="C11" s="105">
        <f>GuV!C9</f>
        <v/>
      </c>
      <c r="D11" s="105">
        <f>GuV!D9</f>
        <v/>
      </c>
      <c r="E11" s="105">
        <f>GuV!E9</f>
        <v/>
      </c>
      <c r="F11" s="105">
        <f>GuV!F9</f>
        <v/>
      </c>
      <c r="G11" s="105">
        <f>GuV!G9</f>
        <v/>
      </c>
      <c r="H11" s="105">
        <f>GuV!H9</f>
        <v/>
      </c>
    </row>
    <row r="12">
      <c r="A12" s="102" t="inlineStr">
        <is>
          <t>Andere aktivierte Eigenleistungen</t>
        </is>
      </c>
      <c r="C12" s="105">
        <f>GuV!C10</f>
        <v/>
      </c>
      <c r="D12" s="105">
        <f>GuV!D10</f>
        <v/>
      </c>
      <c r="E12" s="105">
        <f>GuV!E10</f>
        <v/>
      </c>
      <c r="F12" s="105">
        <f>GuV!F10</f>
        <v/>
      </c>
      <c r="G12" s="105">
        <f>GuV!G10</f>
        <v/>
      </c>
      <c r="H12" s="105">
        <f>GuV!H10</f>
        <v/>
      </c>
    </row>
    <row r="13">
      <c r="A13" s="102" t="inlineStr">
        <is>
          <t>Gesamtleistung</t>
        </is>
      </c>
      <c r="C13" s="104">
        <f>C9+C11+C12</f>
        <v/>
      </c>
      <c r="D13" s="104">
        <f>D9+D11+D12</f>
        <v/>
      </c>
      <c r="E13" s="104">
        <f>E9+E11+E12</f>
        <v/>
      </c>
      <c r="F13" s="104">
        <f>F9+F11+F12</f>
        <v/>
      </c>
      <c r="G13" s="104">
        <f>G9+G11+G12</f>
        <v/>
      </c>
      <c r="H13" s="104">
        <f>H9+H11+H12</f>
        <v/>
      </c>
    </row>
    <row r="14">
      <c r="A14" s="102" t="inlineStr">
        <is>
          <t>Materialaufwand</t>
        </is>
      </c>
      <c r="C14" s="105">
        <f>GuV!C12</f>
        <v/>
      </c>
      <c r="D14" s="105">
        <f>GuV!D12</f>
        <v/>
      </c>
      <c r="E14" s="105">
        <f>GuV!E12</f>
        <v/>
      </c>
      <c r="F14" s="105">
        <f>GuV!F12</f>
        <v/>
      </c>
      <c r="G14" s="105">
        <f>GuV!G12</f>
        <v/>
      </c>
      <c r="H14" s="105">
        <f>GuV!H12</f>
        <v/>
      </c>
    </row>
    <row r="15">
      <c r="A15" s="102" t="inlineStr">
        <is>
          <t>Rohertrag</t>
        </is>
      </c>
      <c r="C15" s="104">
        <f>C13-C14</f>
        <v/>
      </c>
      <c r="D15" s="104">
        <f>D13-D14</f>
        <v/>
      </c>
      <c r="E15" s="104">
        <f>E13-E14</f>
        <v/>
      </c>
      <c r="F15" s="104">
        <f>F13-F14</f>
        <v/>
      </c>
      <c r="G15" s="104">
        <f>G13-G14</f>
        <v/>
      </c>
      <c r="H15" s="104">
        <f>H13-H14</f>
        <v/>
      </c>
    </row>
    <row r="16">
      <c r="A16" s="102" t="inlineStr">
        <is>
          <t>Rohertrag-Marge in %</t>
        </is>
      </c>
      <c r="C16" s="109">
        <f>C15/C9</f>
        <v/>
      </c>
      <c r="D16" s="109">
        <f>D15/D9</f>
        <v/>
      </c>
      <c r="E16" s="109">
        <f>E15/E9</f>
        <v/>
      </c>
      <c r="F16" s="109">
        <f>F15/F9</f>
        <v/>
      </c>
      <c r="G16" s="109">
        <f>G15/G9</f>
        <v/>
      </c>
      <c r="H16" s="109">
        <f>H15/H9</f>
        <v/>
      </c>
    </row>
    <row r="17">
      <c r="A17" s="102" t="inlineStr">
        <is>
          <t>Personalaufwand</t>
        </is>
      </c>
      <c r="C17" s="105">
        <f>GuV!C13</f>
        <v/>
      </c>
      <c r="D17" s="105">
        <f>GuV!D13</f>
        <v/>
      </c>
      <c r="E17" s="105">
        <f>GuV!E13</f>
        <v/>
      </c>
      <c r="F17" s="105">
        <f>GuV!F13</f>
        <v/>
      </c>
      <c r="G17" s="105">
        <f>GuV!G13</f>
        <v/>
      </c>
      <c r="H17" s="105">
        <f>GuV!H13</f>
        <v/>
      </c>
    </row>
    <row r="18">
      <c r="A18" s="102" t="inlineStr">
        <is>
          <t>Abschreibungen auf immat. Vermögensgegenstände und Sachanlagen</t>
        </is>
      </c>
      <c r="C18" s="105">
        <f>GuV!C14</f>
        <v/>
      </c>
      <c r="D18" s="105">
        <f>GuV!D14</f>
        <v/>
      </c>
      <c r="E18" s="105">
        <f>GuV!E14</f>
        <v/>
      </c>
      <c r="F18" s="105">
        <f>GuV!F14</f>
        <v/>
      </c>
      <c r="G18" s="105">
        <f>GuV!G14</f>
        <v/>
      </c>
      <c r="H18" s="105">
        <f>GuV!H14</f>
        <v/>
      </c>
    </row>
    <row r="19">
      <c r="A19" s="102" t="inlineStr">
        <is>
          <t>Sonstige betriebliche Erträge</t>
        </is>
      </c>
      <c r="C19" s="105">
        <f>GuV!C11</f>
        <v/>
      </c>
      <c r="D19" s="105">
        <f>GuV!D11</f>
        <v/>
      </c>
      <c r="E19" s="105">
        <f>GuV!E11</f>
        <v/>
      </c>
      <c r="F19" s="105">
        <f>GuV!F11</f>
        <v/>
      </c>
      <c r="G19" s="105">
        <f>GuV!G11</f>
        <v/>
      </c>
      <c r="H19" s="105">
        <f>GuV!H11</f>
        <v/>
      </c>
    </row>
    <row r="20">
      <c r="A20" s="102" t="inlineStr">
        <is>
          <t>Sonstige betriebliche Aufwendungen</t>
        </is>
      </c>
      <c r="C20" s="105">
        <f>GuV!C15</f>
        <v/>
      </c>
      <c r="D20" s="105">
        <f>GuV!D15</f>
        <v/>
      </c>
      <c r="E20" s="105">
        <f>GuV!E15</f>
        <v/>
      </c>
      <c r="F20" s="105">
        <f>GuV!F15</f>
        <v/>
      </c>
      <c r="G20" s="105">
        <f>GuV!G15</f>
        <v/>
      </c>
      <c r="H20" s="105">
        <f>GuV!H15</f>
        <v/>
      </c>
    </row>
    <row r="21">
      <c r="A21" s="102" t="inlineStr">
        <is>
          <t>EBIT / Betriebliches Ergebnis</t>
        </is>
      </c>
      <c r="C21" s="105">
        <f>GuV!C16</f>
        <v/>
      </c>
      <c r="D21" s="105">
        <f>GuV!D16</f>
        <v/>
      </c>
      <c r="E21" s="105">
        <f>GuV!E16</f>
        <v/>
      </c>
      <c r="F21" s="105">
        <f>GuV!F16</f>
        <v/>
      </c>
      <c r="G21" s="105">
        <f>GuV!G16</f>
        <v/>
      </c>
      <c r="H21" s="105">
        <f>GuV!H16</f>
        <v/>
      </c>
    </row>
    <row r="22">
      <c r="A22" s="102" t="inlineStr">
        <is>
          <t>EBIT-Marge in %</t>
        </is>
      </c>
      <c r="C22" s="109">
        <f>C21/C9</f>
        <v/>
      </c>
      <c r="D22" s="109">
        <f>D21/D9</f>
        <v/>
      </c>
      <c r="E22" s="109">
        <f>E21/E9</f>
        <v/>
      </c>
      <c r="F22" s="109">
        <f>F21/F9</f>
        <v/>
      </c>
      <c r="G22" s="109">
        <f>G21/G9</f>
        <v/>
      </c>
      <c r="H22" s="109">
        <f>H21/H9</f>
        <v/>
      </c>
    </row>
    <row r="23">
      <c r="A23" s="102" t="inlineStr">
        <is>
          <t>EBITDA (Betriebliches Ergebnis + Abschreibungen)</t>
        </is>
      </c>
      <c r="C23" s="104">
        <f>C21+C18</f>
        <v/>
      </c>
      <c r="D23" s="104">
        <f>D21+D18</f>
        <v/>
      </c>
      <c r="E23" s="104">
        <f>E21+E18</f>
        <v/>
      </c>
      <c r="F23" s="104">
        <f>F21+F18</f>
        <v/>
      </c>
      <c r="G23" s="104">
        <f>G21+G18</f>
        <v/>
      </c>
      <c r="H23" s="104">
        <f>H21+H18</f>
        <v/>
      </c>
    </row>
    <row r="24">
      <c r="A24" s="102" t="inlineStr">
        <is>
          <t>EBITDA-Marge in %</t>
        </is>
      </c>
      <c r="C24" s="109">
        <f>C23/C9</f>
        <v/>
      </c>
      <c r="D24" s="109">
        <f>D23/D9</f>
        <v/>
      </c>
      <c r="E24" s="109">
        <f>E23/E9</f>
        <v/>
      </c>
      <c r="F24" s="109">
        <f>F23/F9</f>
        <v/>
      </c>
      <c r="G24" s="109">
        <f>G23/G9</f>
        <v/>
      </c>
      <c r="H24" s="109">
        <f>H23/H9</f>
        <v/>
      </c>
    </row>
    <row r="25">
      <c r="A25" s="102" t="inlineStr">
        <is>
          <t>Beteiligungsergebnis</t>
        </is>
      </c>
      <c r="C25" s="105">
        <f>GuV!C17</f>
        <v/>
      </c>
      <c r="D25" s="105">
        <f>GuV!D17</f>
        <v/>
      </c>
      <c r="E25" s="105">
        <f>GuV!E17</f>
        <v/>
      </c>
      <c r="F25" s="105">
        <f>GuV!F17</f>
        <v/>
      </c>
      <c r="G25" s="105">
        <f>GuV!G17</f>
        <v/>
      </c>
      <c r="H25" s="105">
        <f>GuV!H17</f>
        <v/>
      </c>
    </row>
    <row r="26">
      <c r="A26" s="102" t="inlineStr">
        <is>
          <t>EBITDA inkl. Beteiligungsergebnis</t>
        </is>
      </c>
      <c r="C26" s="104">
        <f>C23+C25</f>
        <v/>
      </c>
      <c r="D26" s="104">
        <f>D23+D25</f>
        <v/>
      </c>
      <c r="E26" s="104">
        <f>E23+E25</f>
        <v/>
      </c>
      <c r="F26" s="104">
        <f>F23+F25</f>
        <v/>
      </c>
      <c r="G26" s="104">
        <f>G23+G25</f>
        <v/>
      </c>
      <c r="H26" s="104">
        <f>H23+H25</f>
        <v/>
      </c>
    </row>
    <row r="27">
      <c r="A27" s="102" t="inlineStr">
        <is>
          <t>Zinsergebnis</t>
        </is>
      </c>
      <c r="C27" s="105">
        <f>GuV!C19</f>
        <v/>
      </c>
      <c r="D27" s="105">
        <f>GuV!D19</f>
        <v/>
      </c>
      <c r="E27" s="105">
        <f>GuV!E19</f>
        <v/>
      </c>
      <c r="F27" s="105">
        <f>GuV!F19</f>
        <v/>
      </c>
      <c r="G27" s="105">
        <f>GuV!G19</f>
        <v/>
      </c>
      <c r="H27" s="105">
        <f>GuV!H19</f>
        <v/>
      </c>
    </row>
    <row r="28">
      <c r="A28" s="102" t="inlineStr">
        <is>
          <t>Ergebnis vor Steuern (EBT)</t>
        </is>
      </c>
      <c r="C28" s="105">
        <f>GuV!C20</f>
        <v/>
      </c>
      <c r="D28" s="105">
        <f>GuV!D20</f>
        <v/>
      </c>
      <c r="E28" s="105">
        <f>GuV!E20</f>
        <v/>
      </c>
      <c r="F28" s="105">
        <f>GuV!F20</f>
        <v/>
      </c>
      <c r="G28" s="105">
        <f>GuV!G20</f>
        <v/>
      </c>
      <c r="H28" s="105">
        <f>GuV!H20</f>
        <v/>
      </c>
    </row>
    <row r="29">
      <c r="A29" s="102" t="inlineStr">
        <is>
          <t>EAT / Unternehmensergebnis (vor Ergebnisabführung)</t>
        </is>
      </c>
      <c r="C29" s="105">
        <f>GuV!C24</f>
        <v/>
      </c>
      <c r="D29" s="105">
        <f>GuV!D24</f>
        <v/>
      </c>
      <c r="E29" s="105">
        <f>GuV!E24</f>
        <v/>
      </c>
      <c r="F29" s="105">
        <f>GuV!F24</f>
        <v/>
      </c>
      <c r="G29" s="105">
        <f>GuV!G24</f>
        <v/>
      </c>
      <c r="H29" s="105">
        <f>GuV!H24</f>
        <v/>
      </c>
    </row>
    <row r="30">
      <c r="A30" s="102" t="inlineStr">
        <is>
          <t>EAT-Marge in %</t>
        </is>
      </c>
      <c r="C30" s="109">
        <f>C29/C9</f>
        <v/>
      </c>
      <c r="D30" s="109">
        <f>D29/D9</f>
        <v/>
      </c>
      <c r="E30" s="109">
        <f>E29/E9</f>
        <v/>
      </c>
      <c r="F30" s="109">
        <f>F29/F9</f>
        <v/>
      </c>
      <c r="G30" s="109">
        <f>G29/G9</f>
        <v/>
      </c>
      <c r="H30" s="109">
        <f>H29/H9</f>
        <v/>
      </c>
    </row>
    <row r="31">
      <c r="A31" s="102" t="inlineStr">
        <is>
          <t>Einstellung in die anderen Gewinnrücklagen</t>
        </is>
      </c>
      <c r="C31" s="104">
        <f>-GuV!C25</f>
        <v/>
      </c>
      <c r="D31" s="104">
        <f>-GuV!D25</f>
        <v/>
      </c>
      <c r="E31" s="104">
        <f>-GuV!E25</f>
        <v/>
      </c>
      <c r="F31" s="104">
        <f>-GuV!F25</f>
        <v/>
      </c>
      <c r="G31" s="104">
        <f>-GuV!G25</f>
        <v/>
      </c>
      <c r="H31" s="104">
        <f>-GuV!H25</f>
        <v/>
      </c>
    </row>
    <row r="32">
      <c r="A32" s="102" t="inlineStr">
        <is>
          <t>Ausgleichszahlung an die Thüga AG</t>
        </is>
      </c>
      <c r="C32" s="104">
        <f>-GuV!C26</f>
        <v/>
      </c>
      <c r="D32" s="104">
        <f>-GuV!D26</f>
        <v/>
      </c>
      <c r="E32" s="104">
        <f>-GuV!E26</f>
        <v/>
      </c>
      <c r="F32" s="104">
        <f>-GuV!F26</f>
        <v/>
      </c>
      <c r="G32" s="104">
        <f>-GuV!G26</f>
        <v/>
      </c>
      <c r="H32" s="104">
        <f>-GuV!H26</f>
        <v/>
      </c>
    </row>
    <row r="33">
      <c r="A33" s="102" t="inlineStr">
        <is>
          <t>Gewinnabführung an die WVV Wiesbaden Holding GmbH</t>
        </is>
      </c>
      <c r="C33" s="104">
        <f>-GuV!C27</f>
        <v/>
      </c>
      <c r="D33" s="104">
        <f>-GuV!D27</f>
        <v/>
      </c>
      <c r="E33" s="104">
        <f>-GuV!E27</f>
        <v/>
      </c>
      <c r="F33" s="104">
        <f>-GuV!F27</f>
        <v/>
      </c>
      <c r="G33" s="104">
        <f>-GuV!G27</f>
        <v/>
      </c>
      <c r="H33" s="104">
        <f>-GuV!H27</f>
        <v/>
      </c>
    </row>
    <row r="34">
      <c r="A34" s="102" t="inlineStr">
        <is>
          <t>Bilanzgewinn</t>
        </is>
      </c>
      <c r="C34" s="105">
        <f>GuV!C28</f>
        <v/>
      </c>
      <c r="D34" s="105">
        <f>GuV!D28</f>
        <v/>
      </c>
      <c r="E34" s="105">
        <f>GuV!E28</f>
        <v/>
      </c>
      <c r="F34" s="105">
        <f>GuV!F28</f>
        <v/>
      </c>
      <c r="G34" s="105">
        <f>GuV!G28</f>
        <v/>
      </c>
      <c r="H34" s="105">
        <f>GuV!H28</f>
        <v/>
      </c>
    </row>
    <row r="36">
      <c r="A36" s="98" t="inlineStr">
        <is>
          <t>Investitionen</t>
        </is>
      </c>
    </row>
    <row r="37">
      <c r="A37" s="102" t="inlineStr">
        <is>
          <t>Gesamtinvestitionen (inkl. Finanzanlagen)</t>
        </is>
      </c>
      <c r="C37" s="105">
        <f>'Anhang &amp; Capex'!C34</f>
        <v/>
      </c>
      <c r="D37" s="105">
        <f>'Anhang &amp; Capex'!D34</f>
        <v/>
      </c>
      <c r="E37" s="105">
        <f>'Anhang &amp; Capex'!E34</f>
        <v/>
      </c>
      <c r="F37" s="105">
        <f>'Anhang &amp; Capex'!F34</f>
        <v/>
      </c>
      <c r="G37" s="105">
        <f>'Anhang &amp; Capex'!G34</f>
        <v/>
      </c>
      <c r="H37" s="105">
        <f>'Anhang &amp; Capex'!H34</f>
        <v/>
      </c>
    </row>
    <row r="38">
      <c r="A38" s="102" t="inlineStr">
        <is>
          <t xml:space="preserve">   davon Finanzanlagen</t>
        </is>
      </c>
      <c r="C38" s="105">
        <f>'Anhang &amp; Capex'!C33</f>
        <v/>
      </c>
      <c r="D38" s="105">
        <f>'Anhang &amp; Capex'!D33</f>
        <v/>
      </c>
      <c r="E38" s="105">
        <f>'Anhang &amp; Capex'!E33</f>
        <v/>
      </c>
      <c r="F38" s="105">
        <f>'Anhang &amp; Capex'!F33</f>
        <v/>
      </c>
      <c r="G38" s="105">
        <f>'Anhang &amp; Capex'!G33</f>
        <v/>
      </c>
      <c r="H38" s="105">
        <f>'Anhang &amp; Capex'!H33</f>
        <v/>
      </c>
    </row>
    <row r="39">
      <c r="A39" s="102" t="inlineStr">
        <is>
          <t>Sach- und immaterielle Investitionen</t>
        </is>
      </c>
      <c r="C39" s="104">
        <f>C37-C38</f>
        <v/>
      </c>
      <c r="D39" s="104">
        <f>D37-D38</f>
        <v/>
      </c>
      <c r="E39" s="104">
        <f>E37-E38</f>
        <v/>
      </c>
      <c r="F39" s="104">
        <f>F37-F38</f>
        <v/>
      </c>
      <c r="G39" s="104">
        <f>G37-G38</f>
        <v/>
      </c>
      <c r="H39" s="104">
        <f>H37-H38</f>
        <v/>
      </c>
    </row>
    <row r="40">
      <c r="A40" s="102" t="inlineStr">
        <is>
          <t>Gesamtinvestitionen / Umsatz in %</t>
        </is>
      </c>
      <c r="C40" s="109">
        <f>C37/C9</f>
        <v/>
      </c>
      <c r="D40" s="109">
        <f>D37/D9</f>
        <v/>
      </c>
      <c r="E40" s="109">
        <f>E37/E9</f>
        <v/>
      </c>
      <c r="F40" s="109">
        <f>F37/F9</f>
        <v/>
      </c>
      <c r="G40" s="109">
        <f>G37/G9</f>
        <v/>
      </c>
      <c r="H40" s="109">
        <f>H37/H9</f>
        <v/>
      </c>
    </row>
    <row r="42">
      <c r="A42" s="98" t="inlineStr">
        <is>
          <t>Finanzlage (Mio. €)</t>
        </is>
      </c>
    </row>
    <row r="43">
      <c r="A43" s="102" t="inlineStr">
        <is>
          <t>Operating Cash Flow</t>
        </is>
      </c>
      <c r="C43" s="110">
        <f>Kapitalflussrechnung!C8</f>
        <v/>
      </c>
      <c r="D43" s="110">
        <f>Kapitalflussrechnung!D8</f>
        <v/>
      </c>
      <c r="E43" s="110">
        <f>Kapitalflussrechnung!E8</f>
        <v/>
      </c>
      <c r="F43" s="110">
        <f>Kapitalflussrechnung!F8</f>
        <v/>
      </c>
      <c r="G43" s="110">
        <f>Kapitalflussrechnung!G8</f>
        <v/>
      </c>
      <c r="H43" s="110">
        <f>Kapitalflussrechnung!H8</f>
        <v/>
      </c>
    </row>
    <row r="44">
      <c r="A44" s="102" t="inlineStr">
        <is>
          <t>Investing Cash Flow</t>
        </is>
      </c>
      <c r="C44" s="110">
        <f>Kapitalflussrechnung!C9</f>
        <v/>
      </c>
      <c r="D44" s="110">
        <f>Kapitalflussrechnung!D9</f>
        <v/>
      </c>
      <c r="E44" s="110">
        <f>Kapitalflussrechnung!E9</f>
        <v/>
      </c>
      <c r="F44" s="110">
        <f>Kapitalflussrechnung!F9</f>
        <v/>
      </c>
      <c r="G44" s="110">
        <f>Kapitalflussrechnung!G9</f>
        <v/>
      </c>
      <c r="H44" s="110">
        <f>Kapitalflussrechnung!H9</f>
        <v/>
      </c>
    </row>
    <row r="45">
      <c r="A45" s="102" t="inlineStr">
        <is>
          <t>Financing Cash Flow</t>
        </is>
      </c>
      <c r="C45" s="110">
        <f>Kapitalflussrechnung!C10</f>
        <v/>
      </c>
      <c r="D45" s="110">
        <f>Kapitalflussrechnung!D10</f>
        <v/>
      </c>
      <c r="E45" s="110">
        <f>Kapitalflussrechnung!E10</f>
        <v/>
      </c>
      <c r="F45" s="110">
        <f>Kapitalflussrechnung!F10</f>
        <v/>
      </c>
      <c r="G45" s="110">
        <f>Kapitalflussrechnung!G10</f>
        <v/>
      </c>
      <c r="H45" s="110">
        <f>Kapitalflussrechnung!H10</f>
        <v/>
      </c>
    </row>
    <row r="46">
      <c r="A46" s="102" t="inlineStr">
        <is>
          <t>Free Cash Flow (Operating + Investing Cash Flow)</t>
        </is>
      </c>
      <c r="C46" s="111">
        <f>IF(ISNUMBER(C43),C43+C44,"n. v.")</f>
        <v/>
      </c>
      <c r="D46" s="111">
        <f>IF(ISNUMBER(D43),D43+D44,"n. v.")</f>
        <v/>
      </c>
      <c r="E46" s="111">
        <f>IF(ISNUMBER(E43),E43+E44,"n. v.")</f>
        <v/>
      </c>
      <c r="F46" s="111">
        <f>IF(ISNUMBER(F43),F43+F44,"n. v.")</f>
        <v/>
      </c>
      <c r="G46" s="111">
        <f>IF(ISNUMBER(G43),G43+G44,"n. v.")</f>
        <v/>
      </c>
      <c r="H46" s="111">
        <f>IF(ISNUMBER(H43),H43+H44,"n. v.")</f>
        <v/>
      </c>
    </row>
    <row r="47">
      <c r="A47" s="102" t="inlineStr">
        <is>
          <t>Total Cash Flow</t>
        </is>
      </c>
      <c r="C47" s="110">
        <f>Kapitalflussrechnung!C11</f>
        <v/>
      </c>
      <c r="D47" s="110">
        <f>Kapitalflussrechnung!D11</f>
        <v/>
      </c>
      <c r="E47" s="110">
        <f>Kapitalflussrechnung!E11</f>
        <v/>
      </c>
      <c r="F47" s="110">
        <f>Kapitalflussrechnung!F11</f>
        <v/>
      </c>
      <c r="G47" s="110">
        <f>Kapitalflussrechnung!G11</f>
        <v/>
      </c>
      <c r="H47" s="110">
        <f>Kapitalflussrechnung!H11</f>
        <v/>
      </c>
    </row>
    <row r="48">
      <c r="A48" s="102" t="inlineStr">
        <is>
          <t>Operating Cash Flow ./. Gesamtinvestitionen</t>
        </is>
      </c>
      <c r="C48" s="111">
        <f>IF(ISNUMBER(C43),C43-C37/1000,"n. v.")</f>
        <v/>
      </c>
      <c r="D48" s="111">
        <f>IF(ISNUMBER(D43),D43-D37/1000,"n. v.")</f>
        <v/>
      </c>
      <c r="E48" s="111">
        <f>IF(ISNUMBER(E43),E43-E37/1000,"n. v.")</f>
        <v/>
      </c>
      <c r="F48" s="111">
        <f>IF(ISNUMBER(F43),F43-F37/1000,"n. v.")</f>
        <v/>
      </c>
      <c r="G48" s="111">
        <f>IF(ISNUMBER(G43),G43-G37/1000,"n. v.")</f>
        <v/>
      </c>
      <c r="H48" s="111">
        <f>IF(ISNUMBER(H43),H43-H37/1000,"n. v.")</f>
        <v/>
      </c>
    </row>
    <row r="49">
      <c r="A49" s="102" t="inlineStr">
        <is>
          <t>Finanzmittelfonds am Ende der Periode</t>
        </is>
      </c>
      <c r="C49" s="110">
        <f>Kapitalflussrechnung!C14</f>
        <v/>
      </c>
      <c r="D49" s="110">
        <f>Kapitalflussrechnung!D14</f>
        <v/>
      </c>
      <c r="E49" s="110">
        <f>Kapitalflussrechnung!E14</f>
        <v/>
      </c>
      <c r="F49" s="110">
        <f>Kapitalflussrechnung!F14</f>
        <v/>
      </c>
      <c r="G49" s="110">
        <f>Kapitalflussrechnung!G14</f>
        <v/>
      </c>
      <c r="H49" s="110">
        <f>Kapitalflussrechnung!H14</f>
        <v/>
      </c>
    </row>
    <row r="51">
      <c r="A51" s="98" t="inlineStr">
        <is>
          <t>Vermögenslage</t>
        </is>
      </c>
    </row>
    <row r="52">
      <c r="A52" s="102" t="inlineStr">
        <is>
          <t>Anlagevermögen</t>
        </is>
      </c>
      <c r="C52" s="105">
        <f>Bilanz!C13</f>
        <v/>
      </c>
      <c r="D52" s="105">
        <f>Bilanz!D13</f>
        <v/>
      </c>
      <c r="E52" s="105">
        <f>Bilanz!E13</f>
        <v/>
      </c>
      <c r="F52" s="105">
        <f>Bilanz!F13</f>
        <v/>
      </c>
      <c r="G52" s="105">
        <f>Bilanz!G13</f>
        <v/>
      </c>
      <c r="H52" s="105">
        <f>Bilanz!H13</f>
        <v/>
      </c>
    </row>
    <row r="53">
      <c r="A53" s="102" t="inlineStr">
        <is>
          <t>Umlaufvermögen</t>
        </is>
      </c>
      <c r="C53" s="105">
        <f>Bilanz!C19</f>
        <v/>
      </c>
      <c r="D53" s="105">
        <f>Bilanz!D19</f>
        <v/>
      </c>
      <c r="E53" s="105">
        <f>Bilanz!E19</f>
        <v/>
      </c>
      <c r="F53" s="105">
        <f>Bilanz!F19</f>
        <v/>
      </c>
      <c r="G53" s="105">
        <f>Bilanz!G19</f>
        <v/>
      </c>
      <c r="H53" s="105">
        <f>Bilanz!H19</f>
        <v/>
      </c>
    </row>
    <row r="54">
      <c r="A54" s="102" t="inlineStr">
        <is>
          <t xml:space="preserve">   davon Kassenbestand und Guthaben bei Kreditinstituten</t>
        </is>
      </c>
      <c r="C54" s="105">
        <f>Bilanz!C18</f>
        <v/>
      </c>
      <c r="D54" s="105">
        <f>Bilanz!D18</f>
        <v/>
      </c>
      <c r="E54" s="105">
        <f>Bilanz!E18</f>
        <v/>
      </c>
      <c r="F54" s="105">
        <f>Bilanz!F18</f>
        <v/>
      </c>
      <c r="G54" s="105">
        <f>Bilanz!G18</f>
        <v/>
      </c>
      <c r="H54" s="105">
        <f>Bilanz!H18</f>
        <v/>
      </c>
    </row>
    <row r="55">
      <c r="A55" s="102" t="inlineStr">
        <is>
          <t>Bilanzsumme</t>
        </is>
      </c>
      <c r="C55" s="105">
        <f>Bilanz!C22</f>
        <v/>
      </c>
      <c r="D55" s="105">
        <f>Bilanz!D22</f>
        <v/>
      </c>
      <c r="E55" s="105">
        <f>Bilanz!E22</f>
        <v/>
      </c>
      <c r="F55" s="105">
        <f>Bilanz!F22</f>
        <v/>
      </c>
      <c r="G55" s="105">
        <f>Bilanz!G22</f>
        <v/>
      </c>
      <c r="H55" s="105">
        <f>Bilanz!H22</f>
        <v/>
      </c>
    </row>
    <row r="56">
      <c r="A56" s="102" t="inlineStr">
        <is>
          <t>Eigenkapital</t>
        </is>
      </c>
      <c r="C56" s="105">
        <f>Bilanz!C31</f>
        <v/>
      </c>
      <c r="D56" s="105">
        <f>Bilanz!D31</f>
        <v/>
      </c>
      <c r="E56" s="105">
        <f>Bilanz!E31</f>
        <v/>
      </c>
      <c r="F56" s="105">
        <f>Bilanz!F31</f>
        <v/>
      </c>
      <c r="G56" s="105">
        <f>Bilanz!G31</f>
        <v/>
      </c>
      <c r="H56" s="105">
        <f>Bilanz!H31</f>
        <v/>
      </c>
    </row>
    <row r="57">
      <c r="A57" s="102" t="inlineStr">
        <is>
          <t>Eigenkapitalquote in %</t>
        </is>
      </c>
      <c r="C57" s="109">
        <f>C56/C55</f>
        <v/>
      </c>
      <c r="D57" s="109">
        <f>D56/D55</f>
        <v/>
      </c>
      <c r="E57" s="109">
        <f>E56/E55</f>
        <v/>
      </c>
      <c r="F57" s="109">
        <f>F56/F55</f>
        <v/>
      </c>
      <c r="G57" s="109">
        <f>G56/G55</f>
        <v/>
      </c>
      <c r="H57" s="109">
        <f>H56/H55</f>
        <v/>
      </c>
    </row>
    <row r="58">
      <c r="A58" s="102" t="inlineStr">
        <is>
          <t>Empfangene Ertragszuschüsse</t>
        </is>
      </c>
      <c r="C58" s="105">
        <f>Bilanz!C33</f>
        <v/>
      </c>
      <c r="D58" s="105">
        <f>Bilanz!D33</f>
        <v/>
      </c>
      <c r="E58" s="105">
        <f>Bilanz!E33</f>
        <v/>
      </c>
      <c r="F58" s="105">
        <f>Bilanz!F33</f>
        <v/>
      </c>
      <c r="G58" s="105">
        <f>Bilanz!G33</f>
        <v/>
      </c>
      <c r="H58" s="105">
        <f>Bilanz!H33</f>
        <v/>
      </c>
    </row>
    <row r="59">
      <c r="A59" s="102" t="inlineStr">
        <is>
          <t>Rückstellungen</t>
        </is>
      </c>
      <c r="C59" s="105">
        <f>Bilanz!C34</f>
        <v/>
      </c>
      <c r="D59" s="105">
        <f>Bilanz!D34</f>
        <v/>
      </c>
      <c r="E59" s="105">
        <f>Bilanz!E34</f>
        <v/>
      </c>
      <c r="F59" s="105">
        <f>Bilanz!F34</f>
        <v/>
      </c>
      <c r="G59" s="105">
        <f>Bilanz!G34</f>
        <v/>
      </c>
      <c r="H59" s="105">
        <f>Bilanz!H34</f>
        <v/>
      </c>
    </row>
    <row r="60">
      <c r="A60" s="102" t="inlineStr">
        <is>
          <t>Verbindlichkeiten</t>
        </is>
      </c>
      <c r="C60" s="105">
        <f>Bilanz!C35</f>
        <v/>
      </c>
      <c r="D60" s="105">
        <f>Bilanz!D35</f>
        <v/>
      </c>
      <c r="E60" s="105">
        <f>Bilanz!E35</f>
        <v/>
      </c>
      <c r="F60" s="105">
        <f>Bilanz!F35</f>
        <v/>
      </c>
      <c r="G60" s="105">
        <f>Bilanz!G35</f>
        <v/>
      </c>
      <c r="H60" s="105">
        <f>Bilanz!H35</f>
        <v/>
      </c>
    </row>
    <row r="62">
      <c r="A62" s="98" t="inlineStr">
        <is>
          <t>Entwicklung der Verschuldung</t>
        </is>
      </c>
    </row>
    <row r="63">
      <c r="A63" s="102" t="inlineStr">
        <is>
          <t>Verbindlichkeiten gegenüber Kreditinstituten</t>
        </is>
      </c>
      <c r="C63" s="105">
        <f>'Anhang &amp; Capex'!C9</f>
        <v/>
      </c>
      <c r="D63" s="105">
        <f>'Anhang &amp; Capex'!D9</f>
        <v/>
      </c>
      <c r="E63" s="105">
        <f>'Anhang &amp; Capex'!E9</f>
        <v/>
      </c>
      <c r="F63" s="105">
        <f>'Anhang &amp; Capex'!F9</f>
        <v/>
      </c>
      <c r="G63" s="105">
        <f>'Anhang &amp; Capex'!G9</f>
        <v/>
      </c>
      <c r="H63" s="105">
        <f>'Anhang &amp; Capex'!H9</f>
        <v/>
      </c>
    </row>
    <row r="64">
      <c r="A64" s="102" t="inlineStr">
        <is>
          <t>Rückstellungen für Pensionen und ähnliche Verpflichtungen</t>
        </is>
      </c>
      <c r="C64" s="105">
        <f>'Anhang &amp; Capex'!C10</f>
        <v/>
      </c>
      <c r="D64" s="105">
        <f>'Anhang &amp; Capex'!D10</f>
        <v/>
      </c>
      <c r="E64" s="105">
        <f>'Anhang &amp; Capex'!E10</f>
        <v/>
      </c>
      <c r="F64" s="105">
        <f>'Anhang &amp; Capex'!F10</f>
        <v/>
      </c>
      <c r="G64" s="105">
        <f>'Anhang &amp; Capex'!G10</f>
        <v/>
      </c>
      <c r="H64" s="105">
        <f>'Anhang &amp; Capex'!H10</f>
        <v/>
      </c>
    </row>
    <row r="65">
      <c r="A65" s="102" t="inlineStr">
        <is>
          <t>Verbindlichkeiten gegenüber verbundenen Unternehmen</t>
        </is>
      </c>
      <c r="C65" s="105">
        <f>'Anhang &amp; Capex'!C11</f>
        <v/>
      </c>
      <c r="D65" s="105">
        <f>'Anhang &amp; Capex'!D11</f>
        <v/>
      </c>
      <c r="E65" s="105">
        <f>'Anhang &amp; Capex'!E11</f>
        <v/>
      </c>
      <c r="F65" s="105">
        <f>'Anhang &amp; Capex'!F11</f>
        <v/>
      </c>
      <c r="G65" s="105">
        <f>'Anhang &amp; Capex'!G11</f>
        <v/>
      </c>
      <c r="H65" s="105">
        <f>'Anhang &amp; Capex'!H11</f>
        <v/>
      </c>
    </row>
    <row r="66">
      <c r="A66" s="102" t="inlineStr">
        <is>
          <t>Verbindlichkeiten gegenüber Unternehmen mit Beteiligungsverhältnis</t>
        </is>
      </c>
      <c r="C66" s="105">
        <f>'Anhang &amp; Capex'!C12</f>
        <v/>
      </c>
      <c r="D66" s="105">
        <f>'Anhang &amp; Capex'!D12</f>
        <v/>
      </c>
      <c r="E66" s="105">
        <f>'Anhang &amp; Capex'!E12</f>
        <v/>
      </c>
      <c r="F66" s="105">
        <f>'Anhang &amp; Capex'!F12</f>
        <v/>
      </c>
      <c r="G66" s="105">
        <f>'Anhang &amp; Capex'!G12</f>
        <v/>
      </c>
      <c r="H66" s="105">
        <f>'Anhang &amp; Capex'!H12</f>
        <v/>
      </c>
    </row>
    <row r="67">
      <c r="A67" s="102" t="inlineStr">
        <is>
          <t>./. Kassenbestand und Guthaben bei Kreditinstituten</t>
        </is>
      </c>
      <c r="C67" s="105">
        <f>-Bilanz!C18</f>
        <v/>
      </c>
      <c r="D67" s="105">
        <f>-Bilanz!D18</f>
        <v/>
      </c>
      <c r="E67" s="105">
        <f>-Bilanz!E18</f>
        <v/>
      </c>
      <c r="F67" s="105">
        <f>-Bilanz!F18</f>
        <v/>
      </c>
      <c r="G67" s="105">
        <f>-Bilanz!G18</f>
        <v/>
      </c>
      <c r="H67" s="105">
        <f>-Bilanz!H18</f>
        <v/>
      </c>
    </row>
    <row r="68">
      <c r="A68" s="102" t="inlineStr">
        <is>
          <t>./. Forderungen gegen verbundene Unternehmen</t>
        </is>
      </c>
      <c r="C68" s="105">
        <f>-'Anhang &amp; Capex'!C14</f>
        <v/>
      </c>
      <c r="D68" s="105">
        <f>-'Anhang &amp; Capex'!D14</f>
        <v/>
      </c>
      <c r="E68" s="105">
        <f>-'Anhang &amp; Capex'!E14</f>
        <v/>
      </c>
      <c r="F68" s="105">
        <f>-'Anhang &amp; Capex'!F14</f>
        <v/>
      </c>
      <c r="G68" s="105">
        <f>-'Anhang &amp; Capex'!G14</f>
        <v/>
      </c>
      <c r="H68" s="105">
        <f>-'Anhang &amp; Capex'!H14</f>
        <v/>
      </c>
    </row>
    <row r="69">
      <c r="A69" s="102" t="inlineStr">
        <is>
          <t>./. Forderungen gegen Unternehmen mit Beteiligungsverhältnis</t>
        </is>
      </c>
      <c r="C69" s="105">
        <f>-'Anhang &amp; Capex'!C15</f>
        <v/>
      </c>
      <c r="D69" s="105">
        <f>-'Anhang &amp; Capex'!D15</f>
        <v/>
      </c>
      <c r="E69" s="105">
        <f>-'Anhang &amp; Capex'!E15</f>
        <v/>
      </c>
      <c r="F69" s="105">
        <f>-'Anhang &amp; Capex'!F15</f>
        <v/>
      </c>
      <c r="G69" s="105">
        <f>-'Anhang &amp; Capex'!G15</f>
        <v/>
      </c>
      <c r="H69" s="105">
        <f>-'Anhang &amp; Capex'!H15</f>
        <v/>
      </c>
    </row>
    <row r="70">
      <c r="A70" s="102" t="inlineStr">
        <is>
          <t>Net Debt</t>
        </is>
      </c>
      <c r="C70" s="104">
        <f>SUM(C63:C69)</f>
        <v/>
      </c>
      <c r="D70" s="104">
        <f>SUM(D63:D69)</f>
        <v/>
      </c>
      <c r="E70" s="104">
        <f>SUM(E63:E69)</f>
        <v/>
      </c>
      <c r="F70" s="104">
        <f>SUM(F63:F69)</f>
        <v/>
      </c>
      <c r="G70" s="104">
        <f>SUM(G63:G69)</f>
        <v/>
      </c>
      <c r="H70" s="104">
        <f>SUM(H63:H69)</f>
        <v/>
      </c>
    </row>
    <row r="71">
      <c r="A71" s="102" t="inlineStr">
        <is>
          <t>Net Debt / EBITDA</t>
        </is>
      </c>
      <c r="C71" s="112">
        <f>C70/C23</f>
        <v/>
      </c>
      <c r="D71" s="112">
        <f>D70/D23</f>
        <v/>
      </c>
      <c r="E71" s="112">
        <f>E70/E23</f>
        <v/>
      </c>
      <c r="F71" s="112">
        <f>F70/F23</f>
        <v/>
      </c>
      <c r="G71" s="112">
        <f>G70/G23</f>
        <v/>
      </c>
      <c r="H71" s="112">
        <f>H70/H23</f>
        <v/>
      </c>
    </row>
    <row r="72">
      <c r="A72" s="102" t="inlineStr">
        <is>
          <t>Net Debt / EBITDA inkl. Beteiligungsergebnis</t>
        </is>
      </c>
      <c r="C72" s="112">
        <f>C70/C26</f>
        <v/>
      </c>
      <c r="D72" s="112">
        <f>D70/D26</f>
        <v/>
      </c>
      <c r="E72" s="112">
        <f>E70/E26</f>
        <v/>
      </c>
      <c r="F72" s="112">
        <f>F70/F26</f>
        <v/>
      </c>
      <c r="G72" s="112">
        <f>G70/G26</f>
        <v/>
      </c>
      <c r="H72" s="112">
        <f>H70/H26</f>
        <v/>
      </c>
    </row>
    <row r="73">
      <c r="A73" s="102" t="inlineStr">
        <is>
          <t>Net Debt / Umsatz in %</t>
        </is>
      </c>
      <c r="C73" s="109">
        <f>C70/C9</f>
        <v/>
      </c>
      <c r="D73" s="109">
        <f>D70/D9</f>
        <v/>
      </c>
      <c r="E73" s="109">
        <f>E70/E9</f>
        <v/>
      </c>
      <c r="F73" s="109">
        <f>F70/F9</f>
        <v/>
      </c>
      <c r="G73" s="109">
        <f>G70/G9</f>
        <v/>
      </c>
      <c r="H73" s="109">
        <f>H70/H9</f>
        <v/>
      </c>
    </row>
    <row r="75">
      <c r="A75" s="98" t="inlineStr">
        <is>
          <t>Kontrollen</t>
        </is>
      </c>
    </row>
    <row r="76">
      <c r="A76" s="106" t="inlineStr">
        <is>
          <t>Bilanz: Aktiva ./. Passiva</t>
        </is>
      </c>
      <c r="C76" s="107">
        <f>Bilanz!C39</f>
        <v/>
      </c>
      <c r="D76" s="107">
        <f>Bilanz!D39</f>
        <v/>
      </c>
      <c r="E76" s="107">
        <f>Bilanz!E39</f>
        <v/>
      </c>
      <c r="F76" s="107">
        <f>Bilanz!F39</f>
        <v/>
      </c>
      <c r="G76" s="107">
        <f>Bilanz!G39</f>
        <v/>
      </c>
      <c r="H76" s="107">
        <f>Bilanz!H39</f>
        <v/>
      </c>
    </row>
    <row r="77">
      <c r="A77" s="106" t="inlineStr">
        <is>
          <t>GuV: Bilanzgewinn (muss 0 sein)</t>
        </is>
      </c>
      <c r="C77" s="107">
        <f>GuV!C30</f>
        <v/>
      </c>
      <c r="D77" s="107">
        <f>GuV!D30</f>
        <v/>
      </c>
      <c r="E77" s="107">
        <f>GuV!E30</f>
        <v/>
      </c>
      <c r="F77" s="107">
        <f>GuV!F30</f>
        <v/>
      </c>
      <c r="G77" s="107">
        <f>GuV!G30</f>
        <v/>
      </c>
      <c r="H77" s="107">
        <f>GuV!H30</f>
        <v/>
      </c>
    </row>
    <row r="78">
      <c r="A78" s="106" t="inlineStr">
        <is>
          <t>Kapitalflussrechnung: berechneter ./. veröffentlichter Fonds</t>
        </is>
      </c>
      <c r="C78" s="113">
        <f>Kapitalflussrechnung!C17</f>
        <v/>
      </c>
      <c r="D78" s="113">
        <f>Kapitalflussrechnung!D17</f>
        <v/>
      </c>
      <c r="E78" s="113">
        <f>Kapitalflussrechnung!E17</f>
        <v/>
      </c>
      <c r="F78" s="113">
        <f>Kapitalflussrechnung!F17</f>
        <v/>
      </c>
      <c r="G78" s="113">
        <f>Kapitalflussrechnung!G17</f>
        <v/>
      </c>
      <c r="H78" s="113">
        <f>Kapitalflussrechnung!H17</f>
        <v/>
      </c>
    </row>
    <row r="79">
      <c r="A79" s="106" t="inlineStr">
        <is>
          <t>Finanzmittelfonds ./. Kassenbestand lt. Bilanz (Mio. €)</t>
        </is>
      </c>
      <c r="C79" s="113">
        <f>Kapitalflussrechnung!C18</f>
        <v/>
      </c>
      <c r="D79" s="113">
        <f>Kapitalflussrechnung!D18</f>
        <v/>
      </c>
      <c r="E79" s="113">
        <f>Kapitalflussrechnung!E18</f>
        <v/>
      </c>
      <c r="F79" s="113">
        <f>Kapitalflussrechnung!F18</f>
        <v/>
      </c>
      <c r="G79" s="113">
        <f>Kapitalflussrechnung!G18</f>
        <v/>
      </c>
      <c r="H79" s="113">
        <f>Kapitalflussrechnung!H18</f>
        <v/>
      </c>
    </row>
    <row r="80">
      <c r="A80" s="106" t="inlineStr">
        <is>
          <t>Eigenkapitalquote: berechnet ./. Lagebericht (%-Punkte)</t>
        </is>
      </c>
      <c r="C80" s="114">
        <f>ROUND((C57-'Anhang &amp; Capex'!C40)*100,1)</f>
        <v/>
      </c>
      <c r="D80" s="114">
        <f>ROUND((D57-'Anhang &amp; Capex'!D40)*100,1)</f>
        <v/>
      </c>
      <c r="E80" s="114">
        <f>ROUND((E57-'Anhang &amp; Capex'!E40)*100,1)</f>
        <v/>
      </c>
      <c r="F80" s="114">
        <f>ROUND((F57-'Anhang &amp; Capex'!F40)*100,1)</f>
        <v/>
      </c>
      <c r="G80" s="114">
        <f>ROUND((G57-'Anhang &amp; Capex'!G40)*100,1)</f>
        <v/>
      </c>
      <c r="H80" s="114">
        <f>ROUND((H57-'Anhang &amp; Capex'!H40)*100,1)</f>
        <v/>
      </c>
    </row>
    <row r="81">
      <c r="A81" s="106" t="inlineStr">
        <is>
          <t>Verbindlichkeiten: Anhang ./. Bilanz</t>
        </is>
      </c>
      <c r="C81" s="107">
        <f>'Anhang &amp; Capex'!C23</f>
        <v/>
      </c>
      <c r="D81" s="107">
        <f>'Anhang &amp; Capex'!D23</f>
        <v/>
      </c>
      <c r="E81" s="107">
        <f>'Anhang &amp; Capex'!E23</f>
        <v/>
      </c>
      <c r="F81" s="107">
        <f>'Anhang &amp; Capex'!F23</f>
        <v/>
      </c>
      <c r="G81" s="107">
        <f>'Anhang &amp; Capex'!G23</f>
        <v/>
      </c>
      <c r="H81" s="107">
        <f>'Anhang &amp; Capex'!H23</f>
        <v/>
      </c>
    </row>
    <row r="82">
      <c r="A82" s="106" t="inlineStr">
        <is>
          <t>Gesamtinvestitionen: Summe Bereiche ./. ausgewiesene Summe</t>
        </is>
      </c>
      <c r="C82" s="107">
        <f>'Anhang &amp; Capex'!C37</f>
        <v/>
      </c>
      <c r="D82" s="107">
        <f>'Anhang &amp; Capex'!D37</f>
        <v/>
      </c>
      <c r="E82" s="107">
        <f>'Anhang &amp; Capex'!E37</f>
        <v/>
      </c>
      <c r="F82" s="107">
        <f>'Anhang &amp; Capex'!F37</f>
        <v/>
      </c>
      <c r="G82" s="107">
        <f>'Anhang &amp; Capex'!G37</f>
        <v/>
      </c>
      <c r="H82" s="107">
        <f>'Anhang &amp; Capex'!H37</f>
        <v/>
      </c>
    </row>
    <row r="83">
      <c r="A83" s="106" t="inlineStr">
        <is>
          <t>Net Debt: Herleitung ./. Summe der Komponenten</t>
        </is>
      </c>
      <c r="C83" s="107">
        <f>C70-(C63+C64+C65+C66+C67+C68+C69)</f>
        <v/>
      </c>
      <c r="D83" s="107">
        <f>D70-(D63+D64+D65+D66+D67+D68+D69)</f>
        <v/>
      </c>
      <c r="E83" s="107">
        <f>E70-(E63+E64+E65+E66+E67+E68+E69)</f>
        <v/>
      </c>
      <c r="F83" s="107">
        <f>F70-(F63+F64+F65+F66+F67+F68+F69)</f>
        <v/>
      </c>
      <c r="G83" s="107">
        <f>G70-(G63+G64+G65+G66+G67+G68+G69)</f>
        <v/>
      </c>
      <c r="H83" s="107">
        <f>H70-(H63+H64+H65+H66+H67+H68+H69)</f>
        <v/>
      </c>
    </row>
    <row r="85">
      <c r="A85" s="102" t="inlineStr">
        <is>
          <t>nachrichtlich: Eigenkapitalquote laut Lagebericht</t>
        </is>
      </c>
      <c r="C85" s="115">
        <f>'Anhang &amp; Capex'!C40</f>
        <v/>
      </c>
      <c r="D85" s="115">
        <f>'Anhang &amp; Capex'!D40</f>
        <v/>
      </c>
      <c r="E85" s="115">
        <f>'Anhang &amp; Capex'!E40</f>
        <v/>
      </c>
      <c r="F85" s="115">
        <f>'Anhang &amp; Capex'!F40</f>
        <v/>
      </c>
      <c r="G85" s="115">
        <f>'Anhang &amp; Capex'!G40</f>
        <v/>
      </c>
      <c r="H85" s="115">
        <f>'Anhang &amp; Capex'!H40</f>
        <v/>
      </c>
    </row>
    <row r="87">
      <c r="A87" s="99" t="inlineStr">
        <is>
          <t>Blau = Eingabe aus dem Abschluss  |  Schwarz = Formel im Blatt  |  Grün = Verweis auf ein anderes Blatt  |  Sämtliche Summen und Kennzahlen sind Formeln.</t>
        </is>
      </c>
    </row>
    <row r="88">
      <c r="A88" s="99" t="inlineStr">
        <is>
          <t>Einheiten: Ertrags-, Vermögens- und Verschuldungsblöcke in T€; Finanzlage in Mio. € (die Gesellschaft veröffentlicht die Kapitalflussrechnung nur in Mio. €).</t>
        </is>
      </c>
    </row>
    <row r="89">
      <c r="A89" s="99" t="inlineStr">
        <is>
          <t>Definitionen und Abweichungen zwischen den Abschlüssen: Blatt „Quellen &amp; Hinweise“.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118" customWidth="1" style="44" min="2" max="2"/>
  </cols>
  <sheetData>
    <row r="1">
      <c r="A1" s="117" t="inlineStr">
        <is>
          <t>Quellen und Hinweise</t>
        </is>
      </c>
    </row>
    <row r="3">
      <c r="A3" s="118" t="inlineStr">
        <is>
          <t>Gesellschaft</t>
        </is>
      </c>
      <c r="B3" s="118" t="inlineStr">
        <is>
          <t>ESWE Versorgungs AG, Wiesbaden – Amtsgericht Wiesbaden, HRB 2105</t>
        </is>
      </c>
    </row>
    <row r="4">
      <c r="A4" s="118" t="inlineStr">
        <is>
          <t>Quelle</t>
        </is>
      </c>
      <c r="B4" s="118" t="inlineStr">
        <is>
          <t>Auszüge aus dem Unternehmensregister (offengelegte Jahres- und Tätigkeitsabschlüsse nach EnWG) sowie Geschäftsbericht 2025 der Gesellschaft</t>
        </is>
      </c>
    </row>
    <row r="6">
      <c r="A6" s="118" t="inlineStr">
        <is>
          <t>JA 2021</t>
        </is>
      </c>
      <c r="B6" s="118" t="inlineStr">
        <is>
          <t>GJ 01.01.–31.12.2021, Tag der Erstellung 13.02.2023 – liefert GJ 2021 und Vorjahr 2020</t>
        </is>
      </c>
    </row>
    <row r="7">
      <c r="A7" s="118" t="inlineStr">
        <is>
          <t>JA 2022</t>
        </is>
      </c>
      <c r="B7" s="118" t="inlineStr">
        <is>
          <t>GJ 01.01.–31.12.2022, Tag der Erstellung 29.02.2024 – liefert GJ 2022 (und Vorjahreswerte 2021)</t>
        </is>
      </c>
    </row>
    <row r="8">
      <c r="A8" s="118" t="inlineStr">
        <is>
          <t>JA 2023</t>
        </is>
      </c>
      <c r="B8" s="118" t="inlineStr">
        <is>
          <t>GJ 01.01.–31.12.2023, Tag der Erstellung 03.02.2025 – liefert GJ 2023 (und Vorjahreswerte 2022)</t>
        </is>
      </c>
    </row>
    <row r="9">
      <c r="A9" s="118" t="inlineStr">
        <is>
          <t>JA 2024</t>
        </is>
      </c>
      <c r="B9" s="118" t="inlineStr">
        <is>
          <t>GJ 01.01.–31.12.2024, Tag der Erstellung 16.01.2026 – liefert GJ 2024 (und Vorjahreswerte 2023)</t>
        </is>
      </c>
    </row>
    <row r="10">
      <c r="A10" s="118" t="inlineStr">
        <is>
          <t>GB 2025</t>
        </is>
      </c>
      <c r="B10" s="118" t="inlineStr">
        <is>
          <t>Geschäftsbericht 2025 mit vollständigem Jahresabschluss zum 31.12.2025 (Bilanz S. 73, GuV S. 74, Anhang S. 75–86, Bestätigungsvermerk KPMG S. 87) – liefert GJ 2025</t>
        </is>
      </c>
    </row>
    <row r="12">
      <c r="A12" s="118" t="inlineStr">
        <is>
          <t>Abgrenzung</t>
        </is>
      </c>
      <c r="B12" s="118" t="inlineStr">
        <is>
          <t>Dargestellt ist ausschließlich der HGB-Einzelabschluss der ESWE Versorgungs AG.</t>
        </is>
      </c>
    </row>
    <row r="13">
      <c r="B13" s="118" t="inlineStr">
        <is>
          <t>Die Tätigkeitsabschlüsse nach § 6b EnWG (Elektrizitätsverteilung, Gasverteilung, Messstellenbetrieb,</t>
        </is>
      </c>
    </row>
    <row r="14">
      <c r="B14" s="118" t="inlineStr">
        <is>
          <t>öffentliche Infrastruktur) sind nicht Bestandteil dieser Auswertung.</t>
        </is>
      </c>
    </row>
    <row r="15">
      <c r="B15" s="118" t="inlineStr">
        <is>
          <t>Ein Konzernabschluss wird nicht aufgestellt (§ 291 Abs. 1 HGB – Einbeziehung in den Konzernabschluss</t>
        </is>
      </c>
    </row>
    <row r="16">
      <c r="B16" s="118" t="inlineStr">
        <is>
          <t>der WVV Wiesbaden Holding GmbH). Beteiligungen sind daher nur zu Buchwerten und über das Beteiligungsergebnis abgebildet;</t>
        </is>
      </c>
    </row>
    <row r="17">
      <c r="B17" s="118" t="inlineStr">
        <is>
          <t>die operative Größe der Gruppe (u. a. sw netz, WiTCOM, ESWE BioEnergie, KMW) ist nirgends konsolidiert verfügbar.</t>
        </is>
      </c>
    </row>
    <row r="19">
      <c r="A19" s="118" t="inlineStr">
        <is>
          <t>Farbkonvention</t>
        </is>
      </c>
      <c r="B19" s="118" t="inlineStr">
        <is>
          <t>Blau = Eingabewert direkt aus dem Abschluss  |  Schwarz = Formel im Blatt  |  Grün = Verweis auf anderes Blatt</t>
        </is>
      </c>
    </row>
    <row r="20">
      <c r="B20" s="118" t="inlineStr">
        <is>
          <t>Sämtliche Zwischen- und Endsummen sind als Formeln hinterlegt und nirgends hartcodiert.</t>
        </is>
      </c>
    </row>
    <row r="22">
      <c r="A22" s="118" t="inlineStr">
        <is>
          <t>Einheiten</t>
        </is>
      </c>
      <c r="B22" s="118" t="inlineStr">
        <is>
          <t>Bilanz, GuV, Anhang &amp; Capex und die Ertrags-/Verschuldungsblöcke des Overview FS in T€.</t>
        </is>
      </c>
    </row>
    <row r="23">
      <c r="B23" s="118" t="inlineStr">
        <is>
          <t>Die Kapitalflussrechnung wird von der Gesellschaft nur in Mio. € veröffentlicht und ist im Modell durchgehend in Mio. € geführt.</t>
        </is>
      </c>
    </row>
    <row r="24">
      <c r="B24" s="118" t="inlineStr">
        <is>
          <t>Auf den Folien werden alle Beträge in Mio. € gezeigt; die Umrechnung erfolgt ausschließlich im Output-Blatt.</t>
        </is>
      </c>
    </row>
    <row r="26">
      <c r="A26" s="118" t="inlineStr">
        <is>
          <t>Kennzahlen</t>
        </is>
      </c>
      <c r="B26" s="118" t="inlineStr">
        <is>
          <t>Rohertrag = Gesamtleistung (Umsatz + Bestandsveränderung + aktivierte Eigenleistungen) ./. Materialaufwand.</t>
        </is>
      </c>
    </row>
    <row r="27">
      <c r="B27" s="118" t="inlineStr">
        <is>
          <t>EBITDA = Betriebliches Ergebnis + Abschreibungen auf immaterielle Vermögensgegenstände und Sachanlagen (Pos. 7 der GuV);</t>
        </is>
      </c>
    </row>
    <row r="28">
      <c r="B28" s="118" t="inlineStr">
        <is>
          <t>das Beteiligungsergebnis ist NICHT enthalten. Da es bei ESWE 17–31 Mio. € p. a. beträgt und im Wesentlichen aus</t>
        </is>
      </c>
    </row>
    <row r="29">
      <c r="B29" s="118" t="inlineStr">
        <is>
          <t>Gewinnabführungen der Töchter und der KMW-Ausschüttung stammt, ist zusätzlich „EBITDA inkl. Beteiligungsergebnis“ ausgewiesen.</t>
        </is>
      </c>
    </row>
    <row r="30">
      <c r="B30" s="118" t="inlineStr">
        <is>
          <t>EAT = Unternehmensergebnis/Jahresüberschuss nach Steuern, vor Ausgleichszahlung an die Thüga AG und vor Gewinnabführung an die WVV.</t>
        </is>
      </c>
    </row>
    <row r="31">
      <c r="B31" s="118" t="inlineStr">
        <is>
          <t>Net Debt = Verbindlichkeiten gegenüber Kreditinstituten + Pensionsrückstellungen + Verbindlichkeiten gegenüber verbundenen</t>
        </is>
      </c>
    </row>
    <row r="32">
      <c r="B32" s="118" t="inlineStr">
        <is>
          <t>Unternehmen und gegenüber Unternehmen, mit denen ein Beteiligungsverhältnis besteht ./. Kassenbestand ./. Forderungen gegen</t>
        </is>
      </c>
    </row>
    <row r="33">
      <c r="B33" s="118" t="inlineStr">
        <is>
          <t>verbundene Unternehmen ./. Forderungen gegen Unternehmen, mit denen ein Beteiligungsverhältnis besteht.</t>
        </is>
      </c>
    </row>
    <row r="34">
      <c r="B34" s="118" t="inlineStr">
        <is>
          <t>Damit enthalten sind auch die zum Stichtag noch nicht ausgezahlte Gewinnabführung und Ausgleichszahlung (31.12.2024: 29,8 Mio. €</t>
        </is>
      </c>
    </row>
    <row r="35">
      <c r="B35" s="118" t="inlineStr">
        <is>
          <t>Ausgleichszahlung Thüga; 31.12.2025: 18,8 Mio. €). Empfangene Ertragszuschüsse sind nicht enthalten (kein Fremdkapitalcharakter).</t>
        </is>
      </c>
    </row>
    <row r="36">
      <c r="B36" s="118" t="inlineStr">
        <is>
          <t>Capex = Gesamtinvestitionen laut Lagebericht inkl. Finanzanlagen, zusätzlich ohne Finanzanlagen ausgewiesen.</t>
        </is>
      </c>
    </row>
    <row r="38">
      <c r="A38" s="118" t="inlineStr">
        <is>
          <t>Abweichung 1</t>
        </is>
      </c>
      <c r="B38" s="118" t="inlineStr">
        <is>
          <t>JA 2022, Seite 12: Pos. 16 „Sonstige Steuern“ 2022 mit 307 T€ ausgewiesen. 48.543 ./. 307 = 48.236,</t>
        </is>
      </c>
    </row>
    <row r="39">
      <c r="B39" s="118" t="inlineStr">
        <is>
          <t>ausgewiesen sind jedoch 48.235 T€. Der JA 2023, Seite 23, nennt für 2022 308 T€. Angesetzt: 308 T€.</t>
        </is>
      </c>
    </row>
    <row r="40">
      <c r="A40" s="118" t="inlineStr">
        <is>
          <t>Abweichung 2</t>
        </is>
      </c>
      <c r="B40" s="118" t="inlineStr">
        <is>
          <t>Kapitalflussrechnung 2022: JA 2022 nennt 95,4 / -44,9 / -23,5 Mio. €, JA 2023 für dasselbe Jahr</t>
        </is>
      </c>
    </row>
    <row r="41">
      <c r="B41" s="118" t="inlineStr">
        <is>
          <t>78,0 / -34,0 / -17,0 Mio. €. Die Summe (27,0 Mio. €) ist identisch – Umgliederung zwischen den</t>
        </is>
      </c>
    </row>
    <row r="42">
      <c r="B42" s="118" t="inlineStr">
        <is>
          <t>Cashflow-Bereichen. Angesetzt sind die Werte des JA 2023.</t>
        </is>
      </c>
    </row>
    <row r="43">
      <c r="A43" s="118" t="inlineStr">
        <is>
          <t>Abweichung 3</t>
        </is>
      </c>
      <c r="B43" s="118" t="inlineStr">
        <is>
          <t>GJ 2020: Der laufende Cashflow wird im JA 2021 nur qualitativ beschrieben und nicht beziffert (n. v.).</t>
        </is>
      </c>
    </row>
    <row r="44">
      <c r="A44" s="118" t="inlineStr">
        <is>
          <t>Abweichung 4</t>
        </is>
      </c>
      <c r="B44" s="118" t="inlineStr">
        <is>
          <t>Investitionen nach Bereichen 2023: JA 2023 weist Stromversorgung 1.005 T€ und Sonstige Bereiche 814 T€ aus, ohne eigene Zeile</t>
        </is>
      </c>
    </row>
    <row r="45">
      <c r="B45" s="118" t="inlineStr">
        <is>
          <t>Telekommunikation. Der JA 2024 nennt für dasselbe Jahr Strom 524 T€, Telekommunikation 919 T€ und Sonstige 376 T€.</t>
        </is>
      </c>
    </row>
    <row r="46">
      <c r="B46" s="118" t="inlineStr">
        <is>
          <t>Die Gesamtsumme (27.342 T€) ist identisch – Umgliederung. Angesetzt ist die Fassung des JA 2024.</t>
        </is>
      </c>
    </row>
    <row r="47">
      <c r="A47" s="118" t="inlineStr">
        <is>
          <t>Abweichung 5</t>
        </is>
      </c>
      <c r="B47" s="118" t="inlineStr">
        <is>
          <t>Verbindlichkeiten 31.12.2024: Die Einzelposten des Anhangs (6) summieren sich auf 212.875 T€; ausgewiesen und in der Bilanz</t>
        </is>
      </c>
    </row>
    <row r="48">
      <c r="B48" s="118" t="inlineStr">
        <is>
          <t>enthalten sind 212.874 T€ (Rundungsdifferenz von 1 T€). Angesetzt ist der ausgewiesene Bilanzwert; die Kontrollzeile</t>
        </is>
      </c>
    </row>
    <row r="49">
      <c r="B49" s="118" t="inlineStr">
        <is>
          <t>„Verbindlichkeiten: Anhang ./. Bilanz“ zeigt diese eine Einheit für 2024 an und ist bewusst nicht geglättet.</t>
        </is>
      </c>
    </row>
    <row r="50">
      <c r="A50" s="118" t="inlineStr">
        <is>
          <t>Abweichung 6</t>
        </is>
      </c>
      <c r="B50" s="118" t="inlineStr">
        <is>
          <t>Bankverbindlichkeiten 31.12.2025: Der Lagebericht des GB 2025 nennt auf Seite 18 einen Darlehensstand von 123,9 Mio. € und</t>
        </is>
      </c>
    </row>
    <row r="51">
      <c r="B51" s="118" t="inlineStr">
        <is>
          <t>auf Seite 20 „von 119,9 Mio. € auf 123,7 Mio. €“; der Anhang (6) auf Seite 82 weist 124.179 T€ aus. Angesetzt ist der</t>
        </is>
      </c>
    </row>
    <row r="52">
      <c r="B52" s="118" t="inlineStr">
        <is>
          <t>geprüfte Anhangwert (124.179 T€). Die Differenz betrifft ausschließlich die Net-Debt-Herleitung, nicht die Bilanzsumme.</t>
        </is>
      </c>
    </row>
    <row r="53">
      <c r="A53" s="118" t="inlineStr">
        <is>
          <t>Abweichung 7</t>
        </is>
      </c>
      <c r="B53" s="118" t="inlineStr">
        <is>
          <t>Personalaufwand 2024: Der Anhang (14) des GB 2025 nennt als Vorjahreswerte 43.776 T€ Löhne und eine Summe von 53.317 T€;</t>
        </is>
      </c>
    </row>
    <row r="54">
      <c r="B54" s="118" t="inlineStr">
        <is>
          <t>der geprüfte JA 2024 weist 43.766 T€ und 55.317 T€ aus, was auch der GuV des GB 2025 entspricht (55.317 T€).</t>
        </is>
      </c>
    </row>
    <row r="55">
      <c r="B55" s="118" t="inlineStr">
        <is>
          <t>Angesetzt sind die Werte des JA 2024. Ohne Auswirkung auf Betriebsergebnis, EBITDA oder eine Foliengröße.</t>
        </is>
      </c>
    </row>
    <row r="56">
      <c r="A56" s="118" t="inlineStr">
        <is>
          <t>Abweichung 8</t>
        </is>
      </c>
      <c r="B56" s="118" t="inlineStr">
        <is>
          <t>Ergebnisdefinition: Der Lagebericht bezeichnet als „Unternehmensergebnis vor Ertragsteuern“ das Ergebnis nach sonstigen Steuern</t>
        </is>
      </c>
    </row>
    <row r="57">
      <c r="B57" s="118" t="inlineStr">
        <is>
          <t>(2024: 83,8 Mio. €; 2025: 52,4 Mio. €). Die GuV weist als „Ergebnis vor Steuern“ 84.282 bzw. 52.650 T€ aus. Im Modell und auf</t>
        </is>
      </c>
    </row>
    <row r="58">
      <c r="B58" s="118" t="inlineStr">
        <is>
          <t>den Folien ist durchgehend die GuV-Größe verwendet; wo die Lagebericht-Größe zitiert wird, ist sie als solche gekennzeichnet.</t>
        </is>
      </c>
    </row>
    <row r="60">
      <c r="A60" s="118" t="inlineStr">
        <is>
          <t>GuV-Gliederung</t>
        </is>
      </c>
      <c r="B60" s="118" t="inlineStr">
        <is>
          <t>Der JA 2021 kennt die Positionen „Abschreibungen auf Finanzanlagen“ und „Einstellung in die anderen</t>
        </is>
      </c>
    </row>
    <row r="61">
      <c r="B61" s="118" t="inlineStr">
        <is>
          <t>Gewinnrücklagen“ nicht. Beide sind für 2020/2021 mit 0 angesetzt, damit die Gliederung über alle Jahre</t>
        </is>
      </c>
    </row>
    <row r="62">
      <c r="B62" s="118" t="inlineStr">
        <is>
          <t>einheitlich ist. Die Positionsnummern folgen dem JA 2024 bzw. dem GB 2025 (dort Pos. 19/20 statt 20/21).</t>
        </is>
      </c>
    </row>
    <row r="63">
      <c r="B63" s="118" t="inlineStr">
        <is>
          <t>„Erhaltene Anzahlungen“ als eigener Verbindlichkeitenposten entfällt ab 2021; für 2021–2025 mit 0 angesetzt.</t>
        </is>
      </c>
    </row>
    <row r="65">
      <c r="A65" s="118" t="inlineStr">
        <is>
          <t>Zeitraum</t>
        </is>
      </c>
      <c r="B65" s="118" t="inlineStr">
        <is>
          <t>Die Folien zeigen 2021–2025. 2020 ist im Modell vollständig enthalten, wird aber nicht gezeigt: für 2020 ist der</t>
        </is>
      </c>
    </row>
    <row r="66">
      <c r="B66" s="118" t="inlineStr">
        <is>
          <t>operative Cashflow nicht veröffentlicht (siehe Abweichung 3), und 2025 ist das für die Argumentation entscheidende</t>
        </is>
      </c>
    </row>
    <row r="67">
      <c r="B67" s="118" t="inlineStr">
        <is>
          <t>Normalisierungsjahr. Wird stattdessen 2020–2024 gewünscht, ist im Output-Blatt nur die Spaltenauswahl zu ändern.</t>
        </is>
      </c>
    </row>
    <row r="69">
      <c r="A69" s="118" t="inlineStr">
        <is>
          <t>Vorlage evm AG</t>
        </is>
      </c>
      <c r="B69" s="118" t="inlineStr">
        <is>
          <t>Im Projektordner liegen die vier PDF-Auszüge, der Geschäftsbericht 2025 und die evm-Unterlage 20260813_Metzler_evm AG_vF.pdf</t>
        </is>
      </c>
    </row>
    <row r="70">
      <c r="B70" s="118" t="inlineStr">
        <is>
          <t>sowie das evm-Financial-Model. Die Formatierung dieser Mappe orientiert sich an der Darstellung der Jahresabschlüsse selbst.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2026-08-27T16:06:24Z</dcterms:created>
  <dcterms:modified xmlns:dcterms="http://purl.org/dc/terms/" xmlns:xsi="http://www.w3.org/2001/XMLSchema-instance" xsi:type="dcterms:W3CDTF">2026-09-01T12:05:49Z</dcterms:modified>
  <cp:revision>0</cp:revision>
</cp:coreProperties>
</file>