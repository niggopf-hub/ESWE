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anz" sheetId="1" state="visible" r:id="rId3"/>
    <sheet name="GuV" sheetId="2" state="visible" r:id="rId4"/>
    <sheet name="Kapitalflussrechnung" sheetId="3" state="visible" r:id="rId5"/>
    <sheet name="Overview FS" sheetId="4" state="visible" r:id="rId6"/>
    <sheet name="Quellen &amp; Hinweise" sheetId="5" state="visible" r:id="rId7"/>
  </sheets>
  <definedNames>
    <definedName function="false" hidden="false" localSheetId="0" name="_xlnm.Print_Titles" vbProcedure="false">Bilanz!$1:$6</definedName>
    <definedName function="false" hidden="false" localSheetId="1" name="_xlnm.Print_Titles" vbProcedure="false">GuV!$1:$6</definedName>
    <definedName function="false" hidden="false" localSheetId="2" name="_xlnm.Print_Titles" vbProcedure="false">Kapitalflussrechnung!$1:$6</definedName>
    <definedName function="false" hidden="false" localSheetId="3" name="_xlnm.Print_Titles" vbProcedure="false">'Overview FS'!$1:$6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<sst xmlns="http://schemas.openxmlformats.org/spreadsheetml/2006/main" count="220" uniqueCount="189">
  <si>
    <t xml:space="preserve">ESWE Versorgungs AG, Wiesbaden</t>
  </si>
  <si>
    <t xml:space="preserve">Bilanz zum 31. Dezember</t>
  </si>
  <si>
    <t xml:space="preserve">HGB-Einzelabschluss – Gliederung gem. § 266 HGB i. V. m. § 265 Abs. 5 und 6 HGB</t>
  </si>
  <si>
    <t xml:space="preserve">Angaben in T€</t>
  </si>
  <si>
    <t xml:space="preserve">Position</t>
  </si>
  <si>
    <t xml:space="preserve">Anhang</t>
  </si>
  <si>
    <t xml:space="preserve">31.12.2020</t>
  </si>
  <si>
    <t xml:space="preserve">31.12.2021</t>
  </si>
  <si>
    <t xml:space="preserve">31.12.2022</t>
  </si>
  <si>
    <t xml:space="preserve">31.12.2023</t>
  </si>
  <si>
    <t xml:space="preserve">31.12.2024</t>
  </si>
  <si>
    <t xml:space="preserve">AKTIVA</t>
  </si>
  <si>
    <t xml:space="preserve">A. Anlagevermögen</t>
  </si>
  <si>
    <t xml:space="preserve">(1)</t>
  </si>
  <si>
    <t xml:space="preserve">I. Immaterielle Vermögensgegenstände</t>
  </si>
  <si>
    <t xml:space="preserve">II. Sachanlagen</t>
  </si>
  <si>
    <t xml:space="preserve">III. Finanzanlagen</t>
  </si>
  <si>
    <t xml:space="preserve">Anlagevermögen</t>
  </si>
  <si>
    <t xml:space="preserve">B. Umlaufvermögen</t>
  </si>
  <si>
    <t xml:space="preserve">I. Vorräte</t>
  </si>
  <si>
    <t xml:space="preserve">(2)</t>
  </si>
  <si>
    <t xml:space="preserve">II. Forderungen und sonstige Vermögensgegenstände</t>
  </si>
  <si>
    <t xml:space="preserve">(3)</t>
  </si>
  <si>
    <t xml:space="preserve">III. Kassenbestand und Guthaben bei Kreditinstituten</t>
  </si>
  <si>
    <t xml:space="preserve">Umlaufvermögen</t>
  </si>
  <si>
    <t xml:space="preserve">C. Rechnungsabgrenzungsposten</t>
  </si>
  <si>
    <t xml:space="preserve">BILANZSUMME AKTIVA</t>
  </si>
  <si>
    <t xml:space="preserve">PASSIVA</t>
  </si>
  <si>
    <t xml:space="preserve">A. Eigenkapital</t>
  </si>
  <si>
    <t xml:space="preserve">(4)</t>
  </si>
  <si>
    <t xml:space="preserve">I. Gezeichnetes Kapital</t>
  </si>
  <si>
    <t xml:space="preserve">II. Kapitalrücklage</t>
  </si>
  <si>
    <t xml:space="preserve">III. Gewinnrücklagen</t>
  </si>
  <si>
    <t xml:space="preserve">IV. Bilanzgewinn</t>
  </si>
  <si>
    <t xml:space="preserve">Eigenkapital</t>
  </si>
  <si>
    <t xml:space="preserve">B. Empfangene Ertragszuschüsse</t>
  </si>
  <si>
    <t xml:space="preserve">C. Rückstellungen</t>
  </si>
  <si>
    <t xml:space="preserve">(5)</t>
  </si>
  <si>
    <t xml:space="preserve">D. Verbindlichkeiten</t>
  </si>
  <si>
    <t xml:space="preserve">(6)</t>
  </si>
  <si>
    <t xml:space="preserve">E. Rechnungsabgrenzungsposten</t>
  </si>
  <si>
    <t xml:space="preserve">BILANZSUMME PASSIVA</t>
  </si>
  <si>
    <t xml:space="preserve">Kontrolle: Bilanzsumme Aktiva ./. Passiva (muss 0 sein)</t>
  </si>
  <si>
    <t xml:space="preserve">Quelle: Unternehmensregister – ESWE Versorgungs AG, Wiesbaden, HRB 2105.</t>
  </si>
  <si>
    <t xml:space="preserve">GJ 2020 und 2021: JA 2021, Seite 10  |  GJ 2022: JA 2022, Seite 11–12  |  GJ 2023: JA 2023, Seite 1–2  |  GJ 2024: JA 2024, Seite 1–2.</t>
  </si>
  <si>
    <t xml:space="preserve">Blau = Eingabe direkt aus dem Jahresabschluss  |  Schwarz = Formel  |  Sämtliche Zwischen- und Endsummen sind Formeln.</t>
  </si>
  <si>
    <t xml:space="preserve">Gewinn- und Verlustrechnung</t>
  </si>
  <si>
    <t xml:space="preserve">Gesamtkostenverfahren gem. § 275 Abs. 2 HGB – für die Zeit vom 1. Januar bis 31. Dezember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</si>
  <si>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</si>
  <si>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</si>
  <si>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</si>
  <si>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</si>
  <si>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</si>
  <si>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1. Umsatzerlöse</t>
  </si>
  <si>
    <t xml:space="preserve">(10)</t>
  </si>
  <si>
    <t xml:space="preserve">2. Veränderung des Bestands an unfertigen Leistungen</t>
  </si>
  <si>
    <t xml:space="preserve">3. Andere aktivierte Eigenleistungen</t>
  </si>
  <si>
    <t xml:space="preserve">(11)</t>
  </si>
  <si>
    <t xml:space="preserve">4. Sonstige betriebliche Erträge</t>
  </si>
  <si>
    <t xml:space="preserve">(12)</t>
  </si>
  <si>
    <t xml:space="preserve">5. Materialaufwand</t>
  </si>
  <si>
    <t xml:space="preserve">(13)</t>
  </si>
  <si>
    <t xml:space="preserve">6. Personalaufwand</t>
  </si>
  <si>
    <t xml:space="preserve">(14)</t>
  </si>
  <si>
    <t xml:space="preserve">7. Abschreibungen</t>
  </si>
  <si>
    <t xml:space="preserve">(15)</t>
  </si>
  <si>
    <t xml:space="preserve">8. Sonstige betriebliche Aufwendungen</t>
  </si>
  <si>
    <t xml:space="preserve">(16)</t>
  </si>
  <si>
    <t xml:space="preserve">9. Betriebliches Ergebnis</t>
  </si>
  <si>
    <t xml:space="preserve">10. Beteiligungsergebnis</t>
  </si>
  <si>
    <t xml:space="preserve">(17)</t>
  </si>
  <si>
    <t xml:space="preserve">11. Abschreibungen auf Finanzanlagen</t>
  </si>
  <si>
    <t xml:space="preserve">(18)</t>
  </si>
  <si>
    <t xml:space="preserve">12. Zinsergebnis</t>
  </si>
  <si>
    <t xml:space="preserve">(19)</t>
  </si>
  <si>
    <t xml:space="preserve">13. ERGEBNIS VOR STEUERN</t>
  </si>
  <si>
    <t xml:space="preserve">14. Steuern vom Einkommen und vom Ertrag</t>
  </si>
  <si>
    <t xml:space="preserve">(20)</t>
  </si>
  <si>
    <t xml:space="preserve">15. ERGEBNIS NACH STEUERN</t>
  </si>
  <si>
    <t xml:space="preserve">16. Sonstige Steuern</t>
  </si>
  <si>
    <t xml:space="preserve">(21)</t>
  </si>
  <si>
    <t xml:space="preserve">17. UNTERNEHMENSERGEBNIS / JAHRESÜBERSCHUSS</t>
  </si>
  <si>
    <t xml:space="preserve">18. Einstellung in die anderen Gewinnrücklagen</t>
  </si>
  <si>
    <t xml:space="preserve">(22)</t>
  </si>
  <si>
    <t xml:space="preserve">19. Aufwendungen für Ausgleichszahlung</t>
  </si>
  <si>
    <t xml:space="preserve">(23)</t>
  </si>
  <si>
    <t xml:space="preserve">20. Aufgrund eines Ergebnisabführungsvertrags abgeführter Gewinn</t>
  </si>
  <si>
    <t xml:space="preserve">(24)</t>
  </si>
  <si>
    <t xml:space="preserve">21. BILANZGEWINN</t>
  </si>
  <si>
    <t xml:space="preserve">Kontrolle: Bilanzgewinn GuV ./. Bilanzgewinn Bilanz (muss 0 sein)</t>
  </si>
  <si>
    <t xml:space="preserve">GJ 2020 und 2021: JA 2021, Seite 11  |  GJ 2022: JA 2022, Seite 12–13  |  GJ 2023: JA 2023, Seite 2  |  GJ 2024: JA 2024, Seite 2.</t>
  </si>
  <si>
    <t xml:space="preserve">Hinweis GJ 2022: Der JA 2022 weist unter Pos. 16 „Sonstige Steuern“ 307 T€ aus. 48.543 ./. 307 = 48.236, ausgewiesen sind jedoch 48.235 T€.</t>
  </si>
  <si>
    <t xml:space="preserve">Der JA 2023 (Seite 23) nennt für 2022 308 T€, womit die Rechnung aufgeht. Angesetzt sind hier 308 T€.</t>
  </si>
  <si>
    <t xml:space="preserve">Hinweis GJ 2020/2021: Der JA 2021 kennt die Positionen „Abschreibungen auf Finanzanlagen“ und „Einstellung in die anderen Gewinnrücklagen“ nicht;</t>
  </si>
  <si>
    <t xml:space="preserve">sie sind mit 0 angesetzt, damit die Gliederung über alle fünf Jahre einheitlich ist. Die Nummerierung folgt dem JA 2024.</t>
  </si>
  <si>
    <t xml:space="preserve">Kapitalflussrechnung nach DRS 21</t>
  </si>
  <si>
    <t xml:space="preserve">Verkürzte Darstellung – die Gesellschaft veröffentlicht die Kapitalflussrechnung nur in dieser Form</t>
  </si>
  <si>
    <t xml:space="preserve">Angaben in Mio. €</t>
  </si>
  <si>
    <t xml:space="preserve">Cashflow aus laufender Geschäftstätigkeit</t>
  </si>
  <si>
    <t xml:space="preserve">n. v.</t>
  </si>
  <si>
    <t xml:space="preserve">Cashflow aus Investitionstätigkeit</t>
  </si>
  <si>
    <t xml:space="preserve">Cashflow aus Finanzierungstätigkeit</t>
  </si>
  <si>
    <t xml:space="preserve">Zahlungswirksame Veränderung des Finanzmittelfonds</t>
  </si>
  <si>
    <t xml:space="preserve">Finanzmittelfonds am Anfang der Periode</t>
  </si>
  <si>
    <t xml:space="preserve">Finanzmittelfonds am Ende der Periode</t>
  </si>
  <si>
    <t xml:space="preserve">nachrichtlich: veröffentlichter Endbestand lt. Lagebericht</t>
  </si>
  <si>
    <t xml:space="preserve">Kontrolle: berechneter ./. veröffentlichter Endbestand (muss 0 sein)</t>
  </si>
  <si>
    <t xml:space="preserve">Kontrolle: Endbestand ./. Kassenbestand lt. Bilanz (muss 0 sein)</t>
  </si>
  <si>
    <t xml:space="preserve">Quelle: Lagebericht im jeweiligen Jahresabschluss – JA 2023 Seite 25, JA 2024 Seite 26; GJ 2021 und 2022 aus dem Lageberichtstext.</t>
  </si>
  <si>
    <t xml:space="preserve">Eine Überleitung der einzelnen DRS-21-Posten (Jahresergebnis, Abschreibungen, Working-Capital-Veränderungen usw.) ist aus den</t>
  </si>
  <si>
    <t xml:space="preserve">veröffentlichten Abschlüssen nicht ableitbar – die Gesellschaft legt nur die drei Cashflow-Salden offen.</t>
  </si>
  <si>
    <t xml:space="preserve">GJ 2020: Der JA 2021 nennt als Vorjahreswerte nur Investitions- und Finanzierungscashflow; der laufende Cashflow ist nicht beziffert (n. v.).</t>
  </si>
  <si>
    <t xml:space="preserve">GJ 2022: Der JA 2022 nennt im Lagebericht 95,4 / -44,9 / -23,5 Mio. €, der JA 2023 für dasselbe Jahr 78,0 / -34,0 / -17,0 Mio. €.</t>
  </si>
  <si>
    <t xml:space="preserve">Die Summe (27,0 Mio. €) ist in beiden Fassungen identisch – es handelt sich um eine Umgliederung. Angesetzt sind die Werte des JA 2023.</t>
  </si>
  <si>
    <t xml:space="preserve">Overview Financial Statements 2020 – 2024</t>
  </si>
  <si>
    <t xml:space="preserve">Alle Werte sind Verweise (grün) auf die Blätter Bilanz, GuV und Kapitalflussrechnung – keine Doppelerfassung</t>
  </si>
  <si>
    <t xml:space="preserve">Angaben in T€, sofern nicht anders vermerkt</t>
  </si>
  <si>
    <t xml:space="preserve">Ertragslage</t>
  </si>
  <si>
    <t xml:space="preserve">Umsatzerlöse</t>
  </si>
  <si>
    <t xml:space="preserve">Materialaufwand</t>
  </si>
  <si>
    <t xml:space="preserve">Personalaufwand</t>
  </si>
  <si>
    <t xml:space="preserve">Abschreibungen</t>
  </si>
  <si>
    <t xml:space="preserve">Sonstige betriebliche Aufwendungen</t>
  </si>
  <si>
    <t xml:space="preserve">Betriebliches Ergebnis</t>
  </si>
  <si>
    <t xml:space="preserve">Beteiligungsergebnis</t>
  </si>
  <si>
    <t xml:space="preserve">Zinsergebnis</t>
  </si>
  <si>
    <t xml:space="preserve">Ergebnis vor Steuern</t>
  </si>
  <si>
    <t xml:space="preserve">Unternehmensergebnis / Jahresüberschuss</t>
  </si>
  <si>
    <t xml:space="preserve">Vermögenslage</t>
  </si>
  <si>
    <t xml:space="preserve">davon Kassenbestand und Guthaben bei Kreditinstituten</t>
  </si>
  <si>
    <t xml:space="preserve">Rechnungsabgrenzungsposten</t>
  </si>
  <si>
    <t xml:space="preserve">Bilanzsumme</t>
  </si>
  <si>
    <t xml:space="preserve">Empfangene Ertragszuschüsse</t>
  </si>
  <si>
    <t xml:space="preserve">Rückstellungen</t>
  </si>
  <si>
    <t xml:space="preserve">Verbindlichkeiten</t>
  </si>
  <si>
    <t xml:space="preserve">Finanzlage (Mio. €)</t>
  </si>
  <si>
    <t xml:space="preserve">Veränderung des Finanzmittelfonds</t>
  </si>
  <si>
    <t xml:space="preserve">Kennzahlen</t>
  </si>
  <si>
    <t xml:space="preserve">Eigenkapitalquote</t>
  </si>
  <si>
    <t xml:space="preserve">Anlagenintensität</t>
  </si>
  <si>
    <t xml:space="preserve">Umsatzrendite (Unternehmensergebnis / Umsatz)</t>
  </si>
  <si>
    <t xml:space="preserve">EBITDA (Betriebliches Ergebnis + Abschreibungen)</t>
  </si>
  <si>
    <t xml:space="preserve">nachrichtlich: Eigenkapitalquote lt. Lagebericht</t>
  </si>
  <si>
    <t xml:space="preserve">Kontrollen</t>
  </si>
  <si>
    <t xml:space="preserve">Bilanz: Aktiva ./. Passiva</t>
  </si>
  <si>
    <t xml:space="preserve">GuV: Bilanzgewinn (muss 0 sein)</t>
  </si>
  <si>
    <t xml:space="preserve">Kapitalflussrechnung: berechneter ./. veröffentlichter Fonds</t>
  </si>
  <si>
    <t xml:space="preserve">Eigenkapitalquote: berechnet ./. Lagebericht</t>
  </si>
  <si>
    <t xml:space="preserve">Finanzmittelfonds ./. Kassenbestand lt. Bilanz (Mio. €)</t>
  </si>
  <si>
    <t xml:space="preserve">Alle Beträge dieses Blattes sind Verweise auf die Detailblätter; Kennzahlen und Kontrollen sind Formeln.</t>
  </si>
  <si>
    <t xml:space="preserve">Quellen und Hinweise</t>
  </si>
  <si>
    <t xml:space="preserve">Gesellschaft</t>
  </si>
  <si>
    <t xml:space="preserve">ESWE Versorgungs AG, Wiesbaden – Amtsgericht Wiesbaden, HRB 2105</t>
  </si>
  <si>
    <t xml:space="preserve">Quelle</t>
  </si>
  <si>
    <t xml:space="preserve">Auszüge aus dem Unternehmensregister (offengelegte Jahres- und Tätigkeitsabschlüsse nach EnWG)</t>
  </si>
  <si>
    <t xml:space="preserve">JA 2021</t>
  </si>
  <si>
    <t xml:space="preserve">GJ 01.01.–31.12.2021, Tag der Erstellung 13.02.2023 – liefert GJ 2021 und Vorjahr 2020</t>
  </si>
  <si>
    <t xml:space="preserve">JA 2022</t>
  </si>
  <si>
    <t xml:space="preserve">GJ 01.01.–31.12.2022, Tag der Erstellung 29.02.2024 – liefert GJ 2022</t>
  </si>
  <si>
    <t xml:space="preserve">JA 2023</t>
  </si>
  <si>
    <t xml:space="preserve">GJ 01.01.–31.12.2023, Tag der Erstellung 03.02.2025 – liefert GJ 2023</t>
  </si>
  <si>
    <t xml:space="preserve">JA 2024</t>
  </si>
  <si>
    <t xml:space="preserve">GJ 01.01.–31.12.2024, Tag der Erstellung 16.01.2026 – liefert GJ 2024</t>
  </si>
  <si>
    <t xml:space="preserve">Abgrenzung</t>
  </si>
  <si>
    <t xml:space="preserve">Dargestellt ist ausschließlich der HGB-Einzelabschluss der ESWE Versorgungs AG.</t>
  </si>
  <si>
    <t xml:space="preserve">Die Tätigkeitsabschlüsse nach § 6b EnWG (Elektrizitätsverteilung, Gasverteilung, Messstellenbetrieb,</t>
  </si>
  <si>
    <t xml:space="preserve">öffentliche Infrastruktur) sind nicht Bestandteil dieser Auswertung.</t>
  </si>
  <si>
    <t xml:space="preserve">Ein Konzernabschluss wird nicht aufgestellt (§ 291 Abs. 1 HGB – Einbeziehung in den Konzernabschluss</t>
  </si>
  <si>
    <t xml:space="preserve">der WVV Wiesbaden Holding GmbH).</t>
  </si>
  <si>
    <t xml:space="preserve">Farbkonvention</t>
  </si>
  <si>
    <t xml:space="preserve">Blau = Eingabewert direkt aus dem Jahresabschluss  |  Schwarz = Formel im Blatt  |  Grün = Verweis auf anderes Blatt</t>
  </si>
  <si>
    <t xml:space="preserve">Sämtliche Zwischen- und Endsummen sind als Formeln hinterlegt und nirgends hartcodiert.</t>
  </si>
  <si>
    <t xml:space="preserve">Abweichung 1</t>
  </si>
  <si>
    <t xml:space="preserve">JA 2022, Seite 12: Pos. 16 „Sonstige Steuern“ 2022 mit 307 T€ ausgewiesen. 48.543 ./. 307 = 48.236,</t>
  </si>
  <si>
    <t xml:space="preserve">ausgewiesen sind jedoch 48.235 T€. Der JA 2023, Seite 23, nennt für 2022 308 T€. Angesetzt: 308 T€.</t>
  </si>
  <si>
    <t xml:space="preserve">Abweichung 2</t>
  </si>
  <si>
    <t xml:space="preserve">Kapitalflussrechnung 2022: JA 2022 nennt 95,4 / -44,9 / -23,5 Mio. €, JA 2023 für dasselbe Jahr</t>
  </si>
  <si>
    <t xml:space="preserve">78,0 / -34,0 / -17,0 Mio. €. Die Summe (27,0 Mio. €) ist identisch – Umgliederung zwischen den</t>
  </si>
  <si>
    <t xml:space="preserve">Cashflow-Bereichen. Angesetzt sind die Werte des JA 2023.</t>
  </si>
  <si>
    <t xml:space="preserve">Abweichung 3</t>
  </si>
  <si>
    <t xml:space="preserve">GJ 2020: Der laufende Cashflow wird im JA 2021 nur qualitativ beschrieben und nicht beziffert (n. v.).</t>
  </si>
  <si>
    <t xml:space="preserve">GuV-Gliederung</t>
  </si>
  <si>
    <t xml:space="preserve">Der JA 2021 kennt die Positionen „Abschreibungen auf Finanzanlagen“ und „Einstellung in die anderen</t>
  </si>
  <si>
    <t xml:space="preserve">Gewinnrücklagen“ nicht. Beide sind für 2020/2021 mit 0 angesetzt, damit die Gliederung über alle Jahre</t>
  </si>
  <si>
    <t xml:space="preserve">einheitlich ist. Die Positionsnummern folgen dem JA 2024.</t>
  </si>
  <si>
    <t xml:space="preserve">Vorlage evm AG</t>
  </si>
  <si>
    <t xml:space="preserve">Im Projektordner lagen nur die vier PDF-Auszüge – eine Excel-Vorlage der evm AG war nicht enthalten.</t>
  </si>
  <si>
    <t xml:space="preserve">Die Formatierung dieser Mappe orientiert sich daher an der Darstellung der Jahresabschlüsse selbst</t>
  </si>
  <si>
    <t xml:space="preserve">(Kopfzeile grau, Zebrastreifen, Summen mit Doppelstrich). Sobald die Vorlage vorliegt, lässt sich das Layout anpassen.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</si>
</sst>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7]#,##0;\-#,##0;\–"/>
    <numFmt numFmtId="166" formatCode="[$-407]#,##0.0;\-#,##0.0;\–"/>
    <numFmt numFmtId="167" formatCode="[$-407]0.0%;\-0.0%;\–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375623"/>
      <name val="Arial"/>
      <family val="0"/>
      <charset val="1"/>
    </font>
    <font>
      <sz val="9"/>
      <color rgb="FF37562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E8E8E8"/>
      </patternFill>
    </fill>
    <fill>
      <patternFill patternType="solid">
        <fgColor rgb="FFF2F2F2"/>
        <bgColor rgb="FFE8E8E8"/>
      </patternFill>
    </fill>
    <fill>
      <patternFill patternType="solid">
        <fgColor rgb="FFE8E8E8"/>
        <bgColor rgb="FFE2EFDA"/>
      </patternFill>
    </fill>
    <fill>
      <patternFill patternType="solid">
        <fgColor rgb="FFE2EFDA"/>
        <bgColor rgb="FFE8E8E8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medium"/>
      <bottom style="thin">
        <color rgb="FFBFBFBF"/>
      </bottom>
      <diagonal/>
    </border>
    <border diagonalUp="false" diagonalDown="false">
      <left/>
      <right/>
      <top style="thin">
        <color rgb="FFBFBFBF"/>
      </top>
      <bottom/>
      <diagonal/>
    </border>
    <border diagonalUp="false" diagonalDown="false">
      <left/>
      <right/>
      <top style="thin">
        <color rgb="FFBFBFBF"/>
      </top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7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4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4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8E8E8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9"/>
    <col collapsed="false" customWidth="true" hidden="false" outlineLevel="0" max="7" min="3" style="0" width="14"/>
  </cols>
  <sheetData>
    <row r="1" customFormat="false" ht="18.75" hidden="false" customHeight="true" outlineLevel="0" collapsed="false">
      <c r="A1" s="1" t="s">
        <v>0</v>
      </c>
    </row>
    <row r="2" customFormat="false" ht="18" hidden="false" customHeight="true" outlineLevel="0" collapsed="false">
      <c r="A2" s="2" t="s">
        <v>1</v>
      </c>
    </row>
    <row r="3" customFormat="false" ht="13.5" hidden="false" customHeight="true" outlineLevel="0" collapsed="false">
      <c r="A3" s="3" t="s">
        <v>2</v>
      </c>
    </row>
    <row r="4" customFormat="false" ht="13.5" hidden="false" customHeight="true" outlineLevel="0" collapsed="false">
      <c r="A4" s="3" t="s">
        <v>3</v>
      </c>
    </row>
    <row r="6" customFormat="false" ht="16.5" hidden="false" customHeight="true" outlineLevel="0" collapsed="false">
      <c r="A6" s="4" t="s">
        <v>4</v>
      </c>
      <c r="B6" s="5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</row>
    <row r="8" customFormat="false" ht="16.5" hidden="false" customHeight="true" outlineLevel="0" collapsed="false">
      <c r="A8" s="7" t="s">
        <v>11</v>
      </c>
    </row>
    <row r="9" customFormat="false" ht="16.5" hidden="false" customHeight="true" outlineLevel="0" collapsed="false">
      <c r="A9" s="7" t="s">
        <v>12</v>
      </c>
      <c r="B9" s="8" t="s">
        <v>13</v>
      </c>
    </row>
    <row r="10" customFormat="false" ht="15" hidden="false" customHeight="true" outlineLevel="0" collapsed="false">
      <c r="A10" s="9" t="s">
        <v>14</v>
      </c>
      <c r="B10" s="10"/>
      <c r="C10" s="11" t="n">
        <v>829</v>
      </c>
      <c r="D10" s="11" t="n">
        <v>1044</v>
      </c>
      <c r="E10" s="11" t="n">
        <v>811</v>
      </c>
      <c r="F10" s="11" t="n">
        <v>658</v>
      </c>
      <c r="G10" s="11" t="n">
        <v>877</v>
      </c>
    </row>
    <row r="11" customFormat="false" ht="15" hidden="false" customHeight="true" outlineLevel="0" collapsed="false">
      <c r="A11" s="12" t="s">
        <v>15</v>
      </c>
      <c r="C11" s="13" t="n">
        <v>159903</v>
      </c>
      <c r="D11" s="13" t="n">
        <v>174058</v>
      </c>
      <c r="E11" s="13" t="n">
        <v>189120</v>
      </c>
      <c r="F11" s="13" t="n">
        <v>197803</v>
      </c>
      <c r="G11" s="13" t="n">
        <v>209240</v>
      </c>
    </row>
    <row r="12" customFormat="false" ht="15" hidden="false" customHeight="true" outlineLevel="0" collapsed="false">
      <c r="A12" s="9" t="s">
        <v>16</v>
      </c>
      <c r="B12" s="10"/>
      <c r="C12" s="11" t="n">
        <v>134084</v>
      </c>
      <c r="D12" s="11" t="n">
        <v>148234</v>
      </c>
      <c r="E12" s="11" t="n">
        <v>170186</v>
      </c>
      <c r="F12" s="11" t="n">
        <v>171960</v>
      </c>
      <c r="G12" s="11" t="n">
        <v>165190</v>
      </c>
    </row>
    <row r="13" customFormat="false" ht="16.5" hidden="false" customHeight="true" outlineLevel="0" collapsed="false">
      <c r="A13" s="14" t="s">
        <v>17</v>
      </c>
      <c r="B13" s="15"/>
      <c r="C13" s="16" t="n">
        <f aca="false">SUM(C10:C12)</f>
        <v>294816</v>
      </c>
      <c r="D13" s="16" t="n">
        <f aca="false">SUM(D10:D12)</f>
        <v>323336</v>
      </c>
      <c r="E13" s="16" t="n">
        <f aca="false">SUM(E10:E12)</f>
        <v>360117</v>
      </c>
      <c r="F13" s="16" t="n">
        <f aca="false">SUM(F10:F12)</f>
        <v>370421</v>
      </c>
      <c r="G13" s="16" t="n">
        <f aca="false">SUM(G10:G12)</f>
        <v>375307</v>
      </c>
    </row>
    <row r="15" customFormat="false" ht="16.5" hidden="false" customHeight="true" outlineLevel="0" collapsed="false">
      <c r="A15" s="7" t="s">
        <v>18</v>
      </c>
    </row>
    <row r="16" customFormat="false" ht="15" hidden="false" customHeight="true" outlineLevel="0" collapsed="false">
      <c r="A16" s="9" t="s">
        <v>19</v>
      </c>
      <c r="B16" s="17" t="s">
        <v>20</v>
      </c>
      <c r="C16" s="11" t="n">
        <v>3898</v>
      </c>
      <c r="D16" s="11" t="n">
        <v>7162</v>
      </c>
      <c r="E16" s="11" t="n">
        <v>8158</v>
      </c>
      <c r="F16" s="11" t="n">
        <v>15439</v>
      </c>
      <c r="G16" s="11" t="n">
        <v>18356</v>
      </c>
    </row>
    <row r="17" customFormat="false" ht="15" hidden="false" customHeight="true" outlineLevel="0" collapsed="false">
      <c r="A17" s="12" t="s">
        <v>21</v>
      </c>
      <c r="B17" s="8" t="s">
        <v>22</v>
      </c>
      <c r="C17" s="13" t="n">
        <v>33013</v>
      </c>
      <c r="D17" s="13" t="n">
        <v>48391</v>
      </c>
      <c r="E17" s="13" t="n">
        <v>17853</v>
      </c>
      <c r="F17" s="13" t="n">
        <v>46747</v>
      </c>
      <c r="G17" s="13" t="n">
        <v>43316</v>
      </c>
    </row>
    <row r="18" customFormat="false" ht="15" hidden="false" customHeight="true" outlineLevel="0" collapsed="false">
      <c r="A18" s="9" t="s">
        <v>23</v>
      </c>
      <c r="B18" s="10"/>
      <c r="C18" s="11" t="n">
        <v>2987</v>
      </c>
      <c r="D18" s="11" t="n">
        <v>3616</v>
      </c>
      <c r="E18" s="11" t="n">
        <v>30611</v>
      </c>
      <c r="F18" s="11" t="n">
        <v>44992</v>
      </c>
      <c r="G18" s="11" t="n">
        <v>21543</v>
      </c>
    </row>
    <row r="19" customFormat="false" ht="16.5" hidden="false" customHeight="true" outlineLevel="0" collapsed="false">
      <c r="A19" s="14" t="s">
        <v>24</v>
      </c>
      <c r="B19" s="15"/>
      <c r="C19" s="16" t="n">
        <f aca="false">SUM(C16:C18)</f>
        <v>39898</v>
      </c>
      <c r="D19" s="16" t="n">
        <f aca="false">SUM(D16:D18)</f>
        <v>59169</v>
      </c>
      <c r="E19" s="16" t="n">
        <f aca="false">SUM(E16:E18)</f>
        <v>56622</v>
      </c>
      <c r="F19" s="16" t="n">
        <f aca="false">SUM(F16:F18)</f>
        <v>107178</v>
      </c>
      <c r="G19" s="16" t="n">
        <f aca="false">SUM(G16:G18)</f>
        <v>83215</v>
      </c>
    </row>
    <row r="21" customFormat="false" ht="15" hidden="false" customHeight="true" outlineLevel="0" collapsed="false">
      <c r="A21" s="7" t="s">
        <v>25</v>
      </c>
      <c r="C21" s="13" t="n">
        <v>2040</v>
      </c>
      <c r="D21" s="13" t="n">
        <v>2468</v>
      </c>
      <c r="E21" s="13" t="n">
        <v>3089</v>
      </c>
      <c r="F21" s="13" t="n">
        <v>3588</v>
      </c>
      <c r="G21" s="13" t="n">
        <v>581</v>
      </c>
    </row>
    <row r="22" customFormat="false" ht="16.5" hidden="false" customHeight="true" outlineLevel="0" collapsed="false">
      <c r="A22" s="18" t="s">
        <v>26</v>
      </c>
      <c r="B22" s="19"/>
      <c r="C22" s="20" t="n">
        <f aca="false">C13+C19+C21</f>
        <v>336754</v>
      </c>
      <c r="D22" s="20" t="n">
        <f aca="false">D13+D19+D21</f>
        <v>384973</v>
      </c>
      <c r="E22" s="20" t="n">
        <f aca="false">E13+E19+E21</f>
        <v>419828</v>
      </c>
      <c r="F22" s="20" t="n">
        <f aca="false">F13+F19+F21</f>
        <v>481187</v>
      </c>
      <c r="G22" s="20" t="n">
        <f aca="false">G13+G19+G21</f>
        <v>459103</v>
      </c>
    </row>
    <row r="25" customFormat="false" ht="16.5" hidden="false" customHeight="true" outlineLevel="0" collapsed="false">
      <c r="A25" s="7" t="s">
        <v>27</v>
      </c>
    </row>
    <row r="26" customFormat="false" ht="16.5" hidden="false" customHeight="true" outlineLevel="0" collapsed="false">
      <c r="A26" s="7" t="s">
        <v>28</v>
      </c>
      <c r="B26" s="8" t="s">
        <v>29</v>
      </c>
    </row>
    <row r="27" customFormat="false" ht="15" hidden="false" customHeight="true" outlineLevel="0" collapsed="false">
      <c r="A27" s="12" t="s">
        <v>30</v>
      </c>
      <c r="C27" s="13" t="n">
        <v>66013</v>
      </c>
      <c r="D27" s="13" t="n">
        <v>66013</v>
      </c>
      <c r="E27" s="13" t="n">
        <v>66013</v>
      </c>
      <c r="F27" s="13" t="n">
        <v>66013</v>
      </c>
      <c r="G27" s="13" t="n">
        <v>66013</v>
      </c>
    </row>
    <row r="28" customFormat="false" ht="15" hidden="false" customHeight="true" outlineLevel="0" collapsed="false">
      <c r="A28" s="9" t="s">
        <v>31</v>
      </c>
      <c r="B28" s="10"/>
      <c r="C28" s="11" t="n">
        <v>25426</v>
      </c>
      <c r="D28" s="11" t="n">
        <v>25426</v>
      </c>
      <c r="E28" s="11" t="n">
        <v>25426</v>
      </c>
      <c r="F28" s="11" t="n">
        <v>25426</v>
      </c>
      <c r="G28" s="11" t="n">
        <v>25426</v>
      </c>
    </row>
    <row r="29" customFormat="false" ht="15" hidden="false" customHeight="true" outlineLevel="0" collapsed="false">
      <c r="A29" s="12" t="s">
        <v>32</v>
      </c>
      <c r="C29" s="13" t="n">
        <v>25131</v>
      </c>
      <c r="D29" s="13" t="n">
        <v>25131</v>
      </c>
      <c r="E29" s="13" t="n">
        <v>25131</v>
      </c>
      <c r="F29" s="13" t="n">
        <v>35131</v>
      </c>
      <c r="G29" s="13" t="n">
        <v>35131</v>
      </c>
    </row>
    <row r="30" customFormat="false" ht="15" hidden="false" customHeight="true" outlineLevel="0" collapsed="false">
      <c r="A30" s="9" t="s">
        <v>33</v>
      </c>
      <c r="B30" s="10"/>
      <c r="C30" s="11" t="n">
        <v>0</v>
      </c>
      <c r="D30" s="11" t="n">
        <v>0</v>
      </c>
      <c r="E30" s="11" t="n">
        <v>0</v>
      </c>
      <c r="F30" s="11" t="n">
        <v>0</v>
      </c>
      <c r="G30" s="11" t="n">
        <v>0</v>
      </c>
    </row>
    <row r="31" customFormat="false" ht="16.5" hidden="false" customHeight="true" outlineLevel="0" collapsed="false">
      <c r="A31" s="14" t="s">
        <v>34</v>
      </c>
      <c r="B31" s="15"/>
      <c r="C31" s="16" t="n">
        <f aca="false">SUM(C27:C30)</f>
        <v>116570</v>
      </c>
      <c r="D31" s="16" t="n">
        <f aca="false">SUM(D27:D30)</f>
        <v>116570</v>
      </c>
      <c r="E31" s="16" t="n">
        <f aca="false">SUM(E27:E30)</f>
        <v>116570</v>
      </c>
      <c r="F31" s="16" t="n">
        <f aca="false">SUM(F27:F30)</f>
        <v>126570</v>
      </c>
      <c r="G31" s="16" t="n">
        <f aca="false">SUM(G27:G30)</f>
        <v>126570</v>
      </c>
    </row>
    <row r="33" customFormat="false" ht="15" hidden="false" customHeight="true" outlineLevel="0" collapsed="false">
      <c r="A33" s="7" t="s">
        <v>35</v>
      </c>
      <c r="C33" s="13" t="n">
        <v>26940</v>
      </c>
      <c r="D33" s="13" t="n">
        <v>28577</v>
      </c>
      <c r="E33" s="13" t="n">
        <v>28900</v>
      </c>
      <c r="F33" s="13" t="n">
        <v>28009</v>
      </c>
      <c r="G33" s="13" t="n">
        <v>27685</v>
      </c>
    </row>
    <row r="34" customFormat="false" ht="15" hidden="false" customHeight="true" outlineLevel="0" collapsed="false">
      <c r="A34" s="21" t="s">
        <v>36</v>
      </c>
      <c r="B34" s="17" t="s">
        <v>37</v>
      </c>
      <c r="C34" s="11" t="n">
        <v>80885</v>
      </c>
      <c r="D34" s="11" t="n">
        <v>95422</v>
      </c>
      <c r="E34" s="11" t="n">
        <v>90794</v>
      </c>
      <c r="F34" s="11" t="n">
        <v>111630</v>
      </c>
      <c r="G34" s="11" t="n">
        <v>91974</v>
      </c>
    </row>
    <row r="35" customFormat="false" ht="15" hidden="false" customHeight="true" outlineLevel="0" collapsed="false">
      <c r="A35" s="7" t="s">
        <v>38</v>
      </c>
      <c r="B35" s="8" t="s">
        <v>39</v>
      </c>
      <c r="C35" s="13" t="n">
        <v>112359</v>
      </c>
      <c r="D35" s="13" t="n">
        <v>144380</v>
      </c>
      <c r="E35" s="13" t="n">
        <v>183564</v>
      </c>
      <c r="F35" s="13" t="n">
        <v>214912</v>
      </c>
      <c r="G35" s="13" t="n">
        <v>212874</v>
      </c>
    </row>
    <row r="36" customFormat="false" ht="15" hidden="false" customHeight="true" outlineLevel="0" collapsed="false">
      <c r="A36" s="21" t="s">
        <v>40</v>
      </c>
      <c r="B36" s="10"/>
      <c r="C36" s="11" t="n">
        <v>0</v>
      </c>
      <c r="D36" s="11" t="n">
        <v>24</v>
      </c>
      <c r="E36" s="11" t="n">
        <v>0</v>
      </c>
      <c r="F36" s="11" t="n">
        <v>66</v>
      </c>
      <c r="G36" s="11" t="n">
        <v>0</v>
      </c>
    </row>
    <row r="37" customFormat="false" ht="16.5" hidden="false" customHeight="true" outlineLevel="0" collapsed="false">
      <c r="A37" s="18" t="s">
        <v>41</v>
      </c>
      <c r="B37" s="19"/>
      <c r="C37" s="20" t="n">
        <f aca="false">C31+SUM(C33:C36)</f>
        <v>336754</v>
      </c>
      <c r="D37" s="20" t="n">
        <f aca="false">D31+SUM(D33:D36)</f>
        <v>384973</v>
      </c>
      <c r="E37" s="20" t="n">
        <f aca="false">E31+SUM(E33:E36)</f>
        <v>419828</v>
      </c>
      <c r="F37" s="20" t="n">
        <f aca="false">F31+SUM(F33:F36)</f>
        <v>481187</v>
      </c>
      <c r="G37" s="20" t="n">
        <f aca="false">G31+SUM(G33:G36)</f>
        <v>459103</v>
      </c>
    </row>
    <row r="39" customFormat="false" ht="15" hidden="false" customHeight="true" outlineLevel="0" collapsed="false">
      <c r="A39" s="22" t="s">
        <v>42</v>
      </c>
      <c r="B39" s="23"/>
      <c r="C39" s="24" t="n">
        <f aca="false">C22-C37</f>
        <v>0</v>
      </c>
      <c r="D39" s="24" t="n">
        <f aca="false">D22-D37</f>
        <v>0</v>
      </c>
      <c r="E39" s="24" t="n">
        <f aca="false">E22-E37</f>
        <v>0</v>
      </c>
      <c r="F39" s="24" t="n">
        <f aca="false">F22-F37</f>
        <v>0</v>
      </c>
      <c r="G39" s="24" t="n">
        <f aca="false">G22-G37</f>
        <v>0</v>
      </c>
    </row>
    <row r="41" customFormat="false" ht="12.75" hidden="false" customHeight="true" outlineLevel="0" collapsed="false">
      <c r="A41" s="25" t="s">
        <v>43</v>
      </c>
    </row>
    <row r="42" customFormat="false" ht="12.75" hidden="false" customHeight="true" outlineLevel="0" collapsed="false">
      <c r="A42" s="25" t="s">
        <v>44</v>
      </c>
    </row>
    <row r="43" customFormat="false" ht="12.75" hidden="false" customHeight="true" outlineLevel="0" collapsed="false">
      <c r="A43" s="25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9"/>
    <col collapsed="false" customWidth="true" hidden="false" outlineLevel="0" max="7" min="3" style="0" width="14"/>
  </cols>
  <sheetData>
    <row r="1" customFormat="false" ht="18.75" hidden="false" customHeight="true" outlineLevel="0" collapsed="false">
      <c r="A1" s="1" t="s">
        <v>0</v>
      </c>
    </row>
    <row r="2" customFormat="false" ht="18" hidden="false" customHeight="true" outlineLevel="0" collapsed="false">
      <c r="A2" s="2" t="s">
        <v>46</v>
      </c>
    </row>
    <row r="3" customFormat="false" ht="13.5" hidden="false" customHeight="true" outlineLevel="0" collapsed="false">
      <c r="A3" s="3" t="s">
        <v>47</v>
      </c>
    </row>
    <row r="4" customFormat="false" ht="13.5" hidden="false" customHeight="true" outlineLevel="0" collapsed="false">
      <c r="A4" s="3" t="s">
        <v>3</v>
      </c>
    </row>
    <row r="6" customFormat="false" ht="16.5" hidden="false" customHeight="true" outlineLevel="0" collapsed="false">
      <c r="A6" s="4" t="s">
        <v>4</v>
      </c>
      <c r="B6" s="5" t="s">
        <v>5</v>
      </c>
      <c r="C6" s="6" t="s">
        <v>48</v>
      </c>
      <c r="D6" s="6" t="s">
        <v>49</v>
      </c>
      <c r="E6" s="6" t="s">
        <v>50</v>
      </c>
      <c r="F6" s="6" t="s">
        <v>51</v>
      </c>
      <c r="G6" s="6" t="s">
        <v>52</v>
      </c>
    </row>
    <row r="8" customFormat="false" ht="15" hidden="false" customHeight="true" outlineLevel="0" collapsed="false">
      <c r="A8" s="9" t="s">
        <v>53</v>
      </c>
      <c r="B8" s="17" t="s">
        <v>54</v>
      </c>
      <c r="C8" s="11" t="n">
        <v>390642</v>
      </c>
      <c r="D8" s="11" t="n">
        <v>426532</v>
      </c>
      <c r="E8" s="11" t="n">
        <v>475683</v>
      </c>
      <c r="F8" s="11" t="n">
        <v>634062</v>
      </c>
      <c r="G8" s="11" t="n">
        <v>534653</v>
      </c>
    </row>
    <row r="9" customFormat="false" ht="15" hidden="false" customHeight="true" outlineLevel="0" collapsed="false">
      <c r="A9" s="12" t="s">
        <v>55</v>
      </c>
      <c r="C9" s="13" t="n">
        <v>-175</v>
      </c>
      <c r="D9" s="13" t="n">
        <v>-332</v>
      </c>
      <c r="E9" s="13" t="n">
        <v>860</v>
      </c>
      <c r="F9" s="13" t="n">
        <v>811</v>
      </c>
      <c r="G9" s="13" t="n">
        <v>69</v>
      </c>
    </row>
    <row r="10" customFormat="false" ht="15" hidden="false" customHeight="true" outlineLevel="0" collapsed="false">
      <c r="A10" s="9" t="s">
        <v>56</v>
      </c>
      <c r="B10" s="17" t="s">
        <v>57</v>
      </c>
      <c r="C10" s="11" t="n">
        <v>2578</v>
      </c>
      <c r="D10" s="11" t="n">
        <v>3399</v>
      </c>
      <c r="E10" s="11" t="n">
        <v>3309</v>
      </c>
      <c r="F10" s="11" t="n">
        <v>1873</v>
      </c>
      <c r="G10" s="11" t="n">
        <v>2674</v>
      </c>
    </row>
    <row r="11" customFormat="false" ht="15" hidden="false" customHeight="true" outlineLevel="0" collapsed="false">
      <c r="A11" s="12" t="s">
        <v>58</v>
      </c>
      <c r="B11" s="8" t="s">
        <v>59</v>
      </c>
      <c r="C11" s="13" t="n">
        <v>2546</v>
      </c>
      <c r="D11" s="13" t="n">
        <v>2486</v>
      </c>
      <c r="E11" s="13" t="n">
        <v>5989</v>
      </c>
      <c r="F11" s="13" t="n">
        <v>6383</v>
      </c>
      <c r="G11" s="13" t="n">
        <v>30279</v>
      </c>
    </row>
    <row r="12" customFormat="false" ht="15" hidden="false" customHeight="true" outlineLevel="0" collapsed="false">
      <c r="A12" s="9" t="s">
        <v>60</v>
      </c>
      <c r="B12" s="17" t="s">
        <v>61</v>
      </c>
      <c r="C12" s="11" t="n">
        <v>280935</v>
      </c>
      <c r="D12" s="11" t="n">
        <v>311386</v>
      </c>
      <c r="E12" s="11" t="n">
        <v>356302</v>
      </c>
      <c r="F12" s="11" t="n">
        <v>483927</v>
      </c>
      <c r="G12" s="11" t="n">
        <v>387160</v>
      </c>
    </row>
    <row r="13" customFormat="false" ht="15" hidden="false" customHeight="true" outlineLevel="0" collapsed="false">
      <c r="A13" s="12" t="s">
        <v>62</v>
      </c>
      <c r="B13" s="8" t="s">
        <v>63</v>
      </c>
      <c r="C13" s="13" t="n">
        <v>50102</v>
      </c>
      <c r="D13" s="13" t="n">
        <v>50803</v>
      </c>
      <c r="E13" s="13" t="n">
        <v>52128</v>
      </c>
      <c r="F13" s="13" t="n">
        <v>52026</v>
      </c>
      <c r="G13" s="13" t="n">
        <v>55317</v>
      </c>
    </row>
    <row r="14" customFormat="false" ht="15" hidden="false" customHeight="true" outlineLevel="0" collapsed="false">
      <c r="A14" s="9" t="s">
        <v>64</v>
      </c>
      <c r="B14" s="17" t="s">
        <v>65</v>
      </c>
      <c r="C14" s="11" t="n">
        <v>13344</v>
      </c>
      <c r="D14" s="11" t="n">
        <v>14180</v>
      </c>
      <c r="E14" s="11" t="n">
        <v>14545</v>
      </c>
      <c r="F14" s="11" t="n">
        <v>14570</v>
      </c>
      <c r="G14" s="11" t="n">
        <v>15673</v>
      </c>
    </row>
    <row r="15" customFormat="false" ht="15" hidden="false" customHeight="true" outlineLevel="0" collapsed="false">
      <c r="A15" s="12" t="s">
        <v>66</v>
      </c>
      <c r="B15" s="8" t="s">
        <v>67</v>
      </c>
      <c r="C15" s="13" t="n">
        <v>28985</v>
      </c>
      <c r="D15" s="13" t="n">
        <v>35338</v>
      </c>
      <c r="E15" s="13" t="n">
        <v>26581</v>
      </c>
      <c r="F15" s="13" t="n">
        <v>49684</v>
      </c>
      <c r="G15" s="13" t="n">
        <v>36261</v>
      </c>
    </row>
    <row r="16" customFormat="false" ht="16.5" hidden="false" customHeight="true" outlineLevel="0" collapsed="false">
      <c r="A16" s="14" t="s">
        <v>68</v>
      </c>
      <c r="B16" s="15"/>
      <c r="C16" s="16" t="n">
        <f aca="false">SUM(C8:C11)-SUM(C12:C15)</f>
        <v>22225</v>
      </c>
      <c r="D16" s="16" t="n">
        <f aca="false">SUM(D8:D11)-SUM(D12:D15)</f>
        <v>20378</v>
      </c>
      <c r="E16" s="16" t="n">
        <f aca="false">SUM(E8:E11)-SUM(E12:E15)</f>
        <v>36285</v>
      </c>
      <c r="F16" s="16" t="n">
        <f aca="false">SUM(F8:F11)-SUM(F12:F15)</f>
        <v>42922</v>
      </c>
      <c r="G16" s="16" t="n">
        <f aca="false">SUM(G8:G11)-SUM(G12:G15)</f>
        <v>73264</v>
      </c>
    </row>
    <row r="17" customFormat="false" ht="15" hidden="false" customHeight="true" outlineLevel="0" collapsed="false">
      <c r="A17" s="12" t="s">
        <v>69</v>
      </c>
      <c r="B17" s="8" t="s">
        <v>70</v>
      </c>
      <c r="C17" s="13" t="n">
        <v>27606</v>
      </c>
      <c r="D17" s="13" t="n">
        <v>24466</v>
      </c>
      <c r="E17" s="13" t="n">
        <v>17558</v>
      </c>
      <c r="F17" s="13" t="n">
        <v>30534</v>
      </c>
      <c r="G17" s="13" t="n">
        <v>17765</v>
      </c>
    </row>
    <row r="18" customFormat="false" ht="15" hidden="false" customHeight="true" outlineLevel="0" collapsed="false">
      <c r="A18" s="9" t="s">
        <v>71</v>
      </c>
      <c r="B18" s="17" t="s">
        <v>72</v>
      </c>
      <c r="C18" s="11" t="n">
        <v>0</v>
      </c>
      <c r="D18" s="11" t="n">
        <v>0</v>
      </c>
      <c r="E18" s="11" t="n">
        <v>2037</v>
      </c>
      <c r="F18" s="11" t="n">
        <v>0</v>
      </c>
      <c r="G18" s="11" t="n">
        <v>8965</v>
      </c>
    </row>
    <row r="19" customFormat="false" ht="15" hidden="false" customHeight="true" outlineLevel="0" collapsed="false">
      <c r="A19" s="12" t="s">
        <v>73</v>
      </c>
      <c r="B19" s="8" t="s">
        <v>74</v>
      </c>
      <c r="C19" s="13" t="n">
        <v>-2064</v>
      </c>
      <c r="D19" s="13" t="n">
        <v>-767</v>
      </c>
      <c r="E19" s="13" t="n">
        <v>-49</v>
      </c>
      <c r="F19" s="13" t="n">
        <v>1281</v>
      </c>
      <c r="G19" s="13" t="n">
        <v>2218</v>
      </c>
    </row>
    <row r="20" customFormat="false" ht="16.5" hidden="false" customHeight="true" outlineLevel="0" collapsed="false">
      <c r="A20" s="14" t="s">
        <v>75</v>
      </c>
      <c r="B20" s="15"/>
      <c r="C20" s="16" t="n">
        <f aca="false">C16+C17-C18+C19</f>
        <v>47767</v>
      </c>
      <c r="D20" s="16" t="n">
        <f aca="false">D16+D17-D18+D19</f>
        <v>44077</v>
      </c>
      <c r="E20" s="16" t="n">
        <f aca="false">E16+E17-E18+E19</f>
        <v>51757</v>
      </c>
      <c r="F20" s="16" t="n">
        <f aca="false">F16+F17-F18+F19</f>
        <v>74737</v>
      </c>
      <c r="G20" s="16" t="n">
        <f aca="false">G16+G17-G18+G19</f>
        <v>84282</v>
      </c>
    </row>
    <row r="21" customFormat="false" ht="15" hidden="false" customHeight="true" outlineLevel="0" collapsed="false">
      <c r="A21" s="12" t="s">
        <v>76</v>
      </c>
      <c r="B21" s="8" t="s">
        <v>77</v>
      </c>
      <c r="C21" s="13" t="n">
        <v>3347</v>
      </c>
      <c r="D21" s="13" t="n">
        <v>3034</v>
      </c>
      <c r="E21" s="13" t="n">
        <v>3214</v>
      </c>
      <c r="F21" s="13" t="n">
        <v>3939</v>
      </c>
      <c r="G21" s="13" t="n">
        <v>5544</v>
      </c>
    </row>
    <row r="22" customFormat="false" ht="16.5" hidden="false" customHeight="true" outlineLevel="0" collapsed="false">
      <c r="A22" s="14" t="s">
        <v>78</v>
      </c>
      <c r="B22" s="15"/>
      <c r="C22" s="16" t="n">
        <f aca="false">C20-C21</f>
        <v>44420</v>
      </c>
      <c r="D22" s="16" t="n">
        <f aca="false">D20-D21</f>
        <v>41043</v>
      </c>
      <c r="E22" s="16" t="n">
        <f aca="false">E20-E21</f>
        <v>48543</v>
      </c>
      <c r="F22" s="16" t="n">
        <f aca="false">F20-F21</f>
        <v>70798</v>
      </c>
      <c r="G22" s="16" t="n">
        <f aca="false">G20-G21</f>
        <v>78738</v>
      </c>
    </row>
    <row r="23" customFormat="false" ht="15" hidden="false" customHeight="true" outlineLevel="0" collapsed="false">
      <c r="A23" s="12" t="s">
        <v>79</v>
      </c>
      <c r="B23" s="8" t="s">
        <v>80</v>
      </c>
      <c r="C23" s="13" t="n">
        <v>643</v>
      </c>
      <c r="D23" s="13" t="n">
        <v>300</v>
      </c>
      <c r="E23" s="13" t="n">
        <v>308</v>
      </c>
      <c r="F23" s="13" t="n">
        <v>237</v>
      </c>
      <c r="G23" s="13" t="n">
        <v>440</v>
      </c>
    </row>
    <row r="24" customFormat="false" ht="16.5" hidden="false" customHeight="true" outlineLevel="0" collapsed="false">
      <c r="A24" s="14" t="s">
        <v>81</v>
      </c>
      <c r="B24" s="15"/>
      <c r="C24" s="16" t="n">
        <f aca="false">C22-C23</f>
        <v>43777</v>
      </c>
      <c r="D24" s="16" t="n">
        <f aca="false">D22-D23</f>
        <v>40743</v>
      </c>
      <c r="E24" s="16" t="n">
        <f aca="false">E22-E23</f>
        <v>48235</v>
      </c>
      <c r="F24" s="16" t="n">
        <f aca="false">F22-F23</f>
        <v>70561</v>
      </c>
      <c r="G24" s="16" t="n">
        <f aca="false">G22-G23</f>
        <v>78298</v>
      </c>
    </row>
    <row r="25" customFormat="false" ht="15" hidden="false" customHeight="true" outlineLevel="0" collapsed="false">
      <c r="A25" s="12" t="s">
        <v>82</v>
      </c>
      <c r="B25" s="8" t="s">
        <v>83</v>
      </c>
      <c r="C25" s="13" t="n">
        <v>0</v>
      </c>
      <c r="D25" s="13" t="n">
        <v>0</v>
      </c>
      <c r="E25" s="13" t="n">
        <v>0</v>
      </c>
      <c r="F25" s="13" t="n">
        <v>10000</v>
      </c>
      <c r="G25" s="13" t="n">
        <v>0</v>
      </c>
    </row>
    <row r="26" customFormat="false" ht="15" hidden="false" customHeight="true" outlineLevel="0" collapsed="false">
      <c r="A26" s="9" t="s">
        <v>84</v>
      </c>
      <c r="B26" s="17" t="s">
        <v>85</v>
      </c>
      <c r="C26" s="11" t="n">
        <v>17980</v>
      </c>
      <c r="D26" s="11" t="n">
        <v>16295</v>
      </c>
      <c r="E26" s="11" t="n">
        <v>17312</v>
      </c>
      <c r="F26" s="11" t="n">
        <v>21109</v>
      </c>
      <c r="G26" s="11" t="n">
        <v>29779</v>
      </c>
    </row>
    <row r="27" customFormat="false" ht="15" hidden="false" customHeight="true" outlineLevel="0" collapsed="false">
      <c r="A27" s="12" t="s">
        <v>86</v>
      </c>
      <c r="B27" s="8" t="s">
        <v>87</v>
      </c>
      <c r="C27" s="13" t="n">
        <v>25797</v>
      </c>
      <c r="D27" s="13" t="n">
        <v>24448</v>
      </c>
      <c r="E27" s="13" t="n">
        <v>30923</v>
      </c>
      <c r="F27" s="13" t="n">
        <v>39452</v>
      </c>
      <c r="G27" s="13" t="n">
        <v>48519</v>
      </c>
    </row>
    <row r="28" customFormat="false" ht="16.5" hidden="false" customHeight="true" outlineLevel="0" collapsed="false">
      <c r="A28" s="18" t="s">
        <v>88</v>
      </c>
      <c r="B28" s="19"/>
      <c r="C28" s="20" t="n">
        <f aca="false">C24-SUM(C25:C27)</f>
        <v>0</v>
      </c>
      <c r="D28" s="20" t="n">
        <f aca="false">D24-SUM(D25:D27)</f>
        <v>0</v>
      </c>
      <c r="E28" s="20" t="n">
        <f aca="false">E24-SUM(E25:E27)</f>
        <v>0</v>
      </c>
      <c r="F28" s="20" t="n">
        <f aca="false">F24-SUM(F25:F27)</f>
        <v>0</v>
      </c>
      <c r="G28" s="20" t="n">
        <f aca="false">G24-SUM(G25:G27)</f>
        <v>0</v>
      </c>
    </row>
    <row r="30" customFormat="false" ht="15" hidden="false" customHeight="true" outlineLevel="0" collapsed="false">
      <c r="A30" s="22" t="s">
        <v>89</v>
      </c>
      <c r="B30" s="23"/>
      <c r="C30" s="24" t="n">
        <f aca="false">C28-Bilanz!C30</f>
        <v>0</v>
      </c>
      <c r="D30" s="24" t="n">
        <f aca="false">D28-Bilanz!D30</f>
        <v>0</v>
      </c>
      <c r="E30" s="24" t="n">
        <f aca="false">E28-Bilanz!E30</f>
        <v>0</v>
      </c>
      <c r="F30" s="24" t="n">
        <f aca="false">F28-Bilanz!F30</f>
        <v>0</v>
      </c>
      <c r="G30" s="24" t="n">
        <f aca="false">G28-Bilanz!G30</f>
        <v>0</v>
      </c>
    </row>
    <row r="32" customFormat="false" ht="12.75" hidden="false" customHeight="true" outlineLevel="0" collapsed="false">
      <c r="A32" s="25" t="s">
        <v>43</v>
      </c>
    </row>
    <row r="33" customFormat="false" ht="12.75" hidden="false" customHeight="true" outlineLevel="0" collapsed="false">
      <c r="A33" s="25" t="s">
        <v>90</v>
      </c>
    </row>
    <row r="34" customFormat="false" ht="12.75" hidden="false" customHeight="true" outlineLevel="0" collapsed="false">
      <c r="A34" s="25" t="s">
        <v>91</v>
      </c>
    </row>
    <row r="35" customFormat="false" ht="12.75" hidden="false" customHeight="true" outlineLevel="0" collapsed="false">
      <c r="A35" s="25" t="s">
        <v>92</v>
      </c>
    </row>
    <row r="36" customFormat="false" ht="12.75" hidden="false" customHeight="true" outlineLevel="0" collapsed="false">
      <c r="A36" s="25" t="s">
        <v>93</v>
      </c>
    </row>
    <row r="37" customFormat="false" ht="12.75" hidden="false" customHeight="true" outlineLevel="0" collapsed="false">
      <c r="A37" s="25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9"/>
    <col collapsed="false" customWidth="true" hidden="false" outlineLevel="0" max="7" min="3" style="0" width="14"/>
  </cols>
  <sheetData>
    <row r="1" customFormat="false" ht="18.75" hidden="false" customHeight="true" outlineLevel="0" collapsed="false">
      <c r="A1" s="1" t="s">
        <v>0</v>
      </c>
    </row>
    <row r="2" customFormat="false" ht="18" hidden="false" customHeight="true" outlineLevel="0" collapsed="false">
      <c r="A2" s="2" t="s">
        <v>95</v>
      </c>
    </row>
    <row r="3" customFormat="false" ht="13.5" hidden="false" customHeight="true" outlineLevel="0" collapsed="false">
      <c r="A3" s="3" t="s">
        <v>96</v>
      </c>
    </row>
    <row r="4" customFormat="false" ht="13.5" hidden="false" customHeight="true" outlineLevel="0" collapsed="false">
      <c r="A4" s="3" t="s">
        <v>97</v>
      </c>
    </row>
    <row r="6" customFormat="false" ht="16.5" hidden="false" customHeight="true" outlineLevel="0" collapsed="false">
      <c r="A6" s="4" t="s">
        <v>4</v>
      </c>
      <c r="B6" s="5" t="s">
        <v>5</v>
      </c>
      <c r="C6" s="6" t="s">
        <v>48</v>
      </c>
      <c r="D6" s="6" t="s">
        <v>49</v>
      </c>
      <c r="E6" s="6" t="s">
        <v>50</v>
      </c>
      <c r="F6" s="6" t="s">
        <v>51</v>
      </c>
      <c r="G6" s="6" t="s">
        <v>52</v>
      </c>
    </row>
    <row r="8" customFormat="false" ht="15" hidden="false" customHeight="true" outlineLevel="0" collapsed="false">
      <c r="A8" s="9" t="s">
        <v>98</v>
      </c>
      <c r="B8" s="10"/>
      <c r="C8" s="26" t="s">
        <v>99</v>
      </c>
      <c r="D8" s="27" t="n">
        <v>49</v>
      </c>
      <c r="E8" s="27" t="n">
        <v>78</v>
      </c>
      <c r="F8" s="27" t="n">
        <v>47.3</v>
      </c>
      <c r="G8" s="27" t="n">
        <v>68.2</v>
      </c>
    </row>
    <row r="9" customFormat="false" ht="15" hidden="false" customHeight="true" outlineLevel="0" collapsed="false">
      <c r="A9" s="12" t="s">
        <v>100</v>
      </c>
      <c r="C9" s="28" t="n">
        <v>1.7</v>
      </c>
      <c r="D9" s="28" t="n">
        <v>-19.5</v>
      </c>
      <c r="E9" s="28" t="n">
        <v>-34</v>
      </c>
      <c r="F9" s="28" t="n">
        <v>8.9</v>
      </c>
      <c r="G9" s="28" t="n">
        <v>-5</v>
      </c>
    </row>
    <row r="10" customFormat="false" ht="15" hidden="false" customHeight="true" outlineLevel="0" collapsed="false">
      <c r="A10" s="9" t="s">
        <v>101</v>
      </c>
      <c r="B10" s="10"/>
      <c r="C10" s="27" t="n">
        <v>-46.8</v>
      </c>
      <c r="D10" s="27" t="n">
        <v>-28.9</v>
      </c>
      <c r="E10" s="27" t="n">
        <v>-17</v>
      </c>
      <c r="F10" s="27" t="n">
        <v>-41.8</v>
      </c>
      <c r="G10" s="27" t="n">
        <v>-86.7</v>
      </c>
    </row>
    <row r="11" customFormat="false" ht="16.5" hidden="false" customHeight="true" outlineLevel="0" collapsed="false">
      <c r="A11" s="14" t="s">
        <v>102</v>
      </c>
      <c r="B11" s="15"/>
      <c r="C11" s="29" t="str">
        <f aca="false">IF(COUNT(C8:C10)=3,SUM(C8:C10),"n. v.")</f>
        <v>n. v.</v>
      </c>
      <c r="D11" s="29" t="n">
        <f aca="false">IF(COUNT(D8:D10)=3,SUM(D8:D10),"n. v.")</f>
        <v>0.600000000000001</v>
      </c>
      <c r="E11" s="29" t="n">
        <f aca="false">IF(COUNT(E8:E10)=3,SUM(E8:E10),"n. v.")</f>
        <v>27</v>
      </c>
      <c r="F11" s="29" t="n">
        <f aca="false">IF(COUNT(F8:F10)=3,SUM(F8:F10),"n. v.")</f>
        <v>14.4</v>
      </c>
      <c r="G11" s="29" t="n">
        <f aca="false">IF(COUNT(G8:G10)=3,SUM(G8:G10),"n. v.")</f>
        <v>-23.5</v>
      </c>
    </row>
    <row r="13" customFormat="false" ht="15" hidden="false" customHeight="true" outlineLevel="0" collapsed="false">
      <c r="A13" s="12" t="s">
        <v>103</v>
      </c>
      <c r="C13" s="30" t="s">
        <v>99</v>
      </c>
      <c r="D13" s="28" t="n">
        <v>3</v>
      </c>
      <c r="E13" s="28" t="n">
        <v>3.6</v>
      </c>
      <c r="F13" s="28" t="n">
        <v>30.6</v>
      </c>
      <c r="G13" s="28" t="n">
        <v>45</v>
      </c>
    </row>
    <row r="14" customFormat="false" ht="16.5" hidden="false" customHeight="true" outlineLevel="0" collapsed="false">
      <c r="A14" s="18" t="s">
        <v>104</v>
      </c>
      <c r="B14" s="19"/>
      <c r="C14" s="31" t="str">
        <f aca="false">IF(AND(ISNUMBER(C13),ISNUMBER(C11)),C13+C11,"n. v.")</f>
        <v>n. v.</v>
      </c>
      <c r="D14" s="31" t="n">
        <f aca="false">IF(AND(ISNUMBER(D13),ISNUMBER(D11)),D13+D11,"n. v.")</f>
        <v>3.6</v>
      </c>
      <c r="E14" s="31" t="n">
        <f aca="false">IF(AND(ISNUMBER(E13),ISNUMBER(E11)),E13+E11,"n. v.")</f>
        <v>30.6</v>
      </c>
      <c r="F14" s="31" t="n">
        <f aca="false">IF(AND(ISNUMBER(F13),ISNUMBER(F11)),F13+F11,"n. v.")</f>
        <v>45</v>
      </c>
      <c r="G14" s="31" t="n">
        <f aca="false">IF(AND(ISNUMBER(G13),ISNUMBER(G11)),G13+G11,"n. v.")</f>
        <v>21.5</v>
      </c>
    </row>
    <row r="16" customFormat="false" ht="15" hidden="false" customHeight="true" outlineLevel="0" collapsed="false">
      <c r="A16" s="12" t="s">
        <v>105</v>
      </c>
      <c r="C16" s="28" t="n">
        <v>3</v>
      </c>
      <c r="D16" s="28" t="n">
        <v>3.6</v>
      </c>
      <c r="E16" s="28" t="n">
        <v>30.6</v>
      </c>
      <c r="F16" s="28" t="n">
        <v>45</v>
      </c>
      <c r="G16" s="28" t="n">
        <v>21.5</v>
      </c>
    </row>
    <row r="17" customFormat="false" ht="15" hidden="false" customHeight="true" outlineLevel="0" collapsed="false">
      <c r="A17" s="22" t="s">
        <v>106</v>
      </c>
      <c r="B17" s="23"/>
      <c r="C17" s="32" t="str">
        <f aca="false">IF(ISNUMBER(C14),ROUND(C14-C16,1),"n. v.")</f>
        <v>n. v.</v>
      </c>
      <c r="D17" s="32" t="n">
        <f aca="false">IF(ISNUMBER(D14),ROUND(D14-D16,1),"n. v.")</f>
        <v>0</v>
      </c>
      <c r="E17" s="32" t="n">
        <f aca="false">IF(ISNUMBER(E14),ROUND(E14-E16,1),"n. v.")</f>
        <v>0</v>
      </c>
      <c r="F17" s="32" t="n">
        <f aca="false">IF(ISNUMBER(F14),ROUND(F14-F16,1),"n. v.")</f>
        <v>0</v>
      </c>
      <c r="G17" s="32" t="n">
        <f aca="false">IF(ISNUMBER(G14),ROUND(G14-G16,1),"n. v.")</f>
        <v>0</v>
      </c>
    </row>
    <row r="18" customFormat="false" ht="15" hidden="false" customHeight="true" outlineLevel="0" collapsed="false">
      <c r="A18" s="22" t="s">
        <v>107</v>
      </c>
      <c r="B18" s="23"/>
      <c r="C18" s="32" t="str">
        <f aca="false">IF(ISNUMBER(C14),ROUND(C14-Bilanz!C18/1000,1),"n. v.")</f>
        <v>n. v.</v>
      </c>
      <c r="D18" s="32" t="n">
        <f aca="false">IF(ISNUMBER(D14),ROUND(D14-Bilanz!D18/1000,1),"n. v.")</f>
        <v>-0</v>
      </c>
      <c r="E18" s="32" t="n">
        <f aca="false">IF(ISNUMBER(E14),ROUND(E14-Bilanz!E18/1000,1),"n. v.")</f>
        <v>-0</v>
      </c>
      <c r="F18" s="32" t="n">
        <f aca="false">IF(ISNUMBER(F14),ROUND(F14-Bilanz!F18/1000,1),"n. v.")</f>
        <v>0</v>
      </c>
      <c r="G18" s="32" t="n">
        <f aca="false">IF(ISNUMBER(G14),ROUND(G14-Bilanz!G18/1000,1),"n. v.")</f>
        <v>-0</v>
      </c>
    </row>
    <row r="20" customFormat="false" ht="12.75" hidden="false" customHeight="true" outlineLevel="0" collapsed="false">
      <c r="A20" s="25" t="s">
        <v>108</v>
      </c>
    </row>
    <row r="21" customFormat="false" ht="12.75" hidden="false" customHeight="true" outlineLevel="0" collapsed="false">
      <c r="A21" s="25" t="s">
        <v>109</v>
      </c>
    </row>
    <row r="22" customFormat="false" ht="12.75" hidden="false" customHeight="true" outlineLevel="0" collapsed="false">
      <c r="A22" s="25" t="s">
        <v>110</v>
      </c>
    </row>
    <row r="23" customFormat="false" ht="12.75" hidden="false" customHeight="true" outlineLevel="0" collapsed="false">
      <c r="A23" s="25" t="s">
        <v>111</v>
      </c>
    </row>
    <row r="24" customFormat="false" ht="12.75" hidden="false" customHeight="true" outlineLevel="0" collapsed="false">
      <c r="A24" s="25" t="s">
        <v>112</v>
      </c>
    </row>
    <row r="25" customFormat="false" ht="12.75" hidden="false" customHeight="true" outlineLevel="0" collapsed="false">
      <c r="A25" s="25" t="s">
        <v>113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9"/>
    <col collapsed="false" customWidth="true" hidden="false" outlineLevel="0" max="7" min="3" style="0" width="14"/>
  </cols>
  <sheetData>
    <row r="1" customFormat="false" ht="18.75" hidden="false" customHeight="true" outlineLevel="0" collapsed="false">
      <c r="A1" s="1" t="s">
        <v>0</v>
      </c>
    </row>
    <row r="2" customFormat="false" ht="18" hidden="false" customHeight="true" outlineLevel="0" collapsed="false">
      <c r="A2" s="2" t="s">
        <v>114</v>
      </c>
    </row>
    <row r="3" customFormat="false" ht="13.5" hidden="false" customHeight="true" outlineLevel="0" collapsed="false">
      <c r="A3" s="3" t="s">
        <v>115</v>
      </c>
    </row>
    <row r="4" customFormat="false" ht="13.5" hidden="false" customHeight="true" outlineLevel="0" collapsed="false">
      <c r="A4" s="3" t="s">
        <v>116</v>
      </c>
    </row>
    <row r="6" customFormat="false" ht="16.5" hidden="false" customHeight="true" outlineLevel="0" collapsed="false">
      <c r="A6" s="4" t="s">
        <v>4</v>
      </c>
      <c r="B6" s="5" t="s">
        <v>5</v>
      </c>
      <c r="C6" s="6" t="s">
        <v>48</v>
      </c>
      <c r="D6" s="6" t="s">
        <v>49</v>
      </c>
      <c r="E6" s="6" t="s">
        <v>50</v>
      </c>
      <c r="F6" s="6" t="s">
        <v>51</v>
      </c>
      <c r="G6" s="6" t="s">
        <v>52</v>
      </c>
    </row>
    <row r="8" customFormat="false" ht="16.5" hidden="false" customHeight="true" outlineLevel="0" collapsed="false">
      <c r="A8" s="7" t="s">
        <v>117</v>
      </c>
    </row>
    <row r="9" customFormat="false" ht="15" hidden="false" customHeight="true" outlineLevel="0" collapsed="false">
      <c r="A9" s="12" t="s">
        <v>118</v>
      </c>
      <c r="C9" s="33" t="n">
        <f aca="false">GuV!C8</f>
        <v>390642</v>
      </c>
      <c r="D9" s="33" t="n">
        <f aca="false">GuV!D8</f>
        <v>426532</v>
      </c>
      <c r="E9" s="33" t="n">
        <f aca="false">GuV!E8</f>
        <v>475683</v>
      </c>
      <c r="F9" s="33" t="n">
        <f aca="false">GuV!F8</f>
        <v>634062</v>
      </c>
      <c r="G9" s="33" t="n">
        <f aca="false">GuV!G8</f>
        <v>534653</v>
      </c>
    </row>
    <row r="10" customFormat="false" ht="15" hidden="false" customHeight="true" outlineLevel="0" collapsed="false">
      <c r="A10" s="9" t="s">
        <v>119</v>
      </c>
      <c r="B10" s="10"/>
      <c r="C10" s="34" t="n">
        <f aca="false">GuV!C12</f>
        <v>280935</v>
      </c>
      <c r="D10" s="34" t="n">
        <f aca="false">GuV!D12</f>
        <v>311386</v>
      </c>
      <c r="E10" s="34" t="n">
        <f aca="false">GuV!E12</f>
        <v>356302</v>
      </c>
      <c r="F10" s="34" t="n">
        <f aca="false">GuV!F12</f>
        <v>483927</v>
      </c>
      <c r="G10" s="34" t="n">
        <f aca="false">GuV!G12</f>
        <v>387160</v>
      </c>
    </row>
    <row r="11" customFormat="false" ht="15" hidden="false" customHeight="true" outlineLevel="0" collapsed="false">
      <c r="A11" s="12" t="s">
        <v>120</v>
      </c>
      <c r="C11" s="33" t="n">
        <f aca="false">GuV!C13</f>
        <v>50102</v>
      </c>
      <c r="D11" s="33" t="n">
        <f aca="false">GuV!D13</f>
        <v>50803</v>
      </c>
      <c r="E11" s="33" t="n">
        <f aca="false">GuV!E13</f>
        <v>52128</v>
      </c>
      <c r="F11" s="33" t="n">
        <f aca="false">GuV!F13</f>
        <v>52026</v>
      </c>
      <c r="G11" s="33" t="n">
        <f aca="false">GuV!G13</f>
        <v>55317</v>
      </c>
    </row>
    <row r="12" customFormat="false" ht="15" hidden="false" customHeight="true" outlineLevel="0" collapsed="false">
      <c r="A12" s="9" t="s">
        <v>121</v>
      </c>
      <c r="B12" s="10"/>
      <c r="C12" s="34" t="n">
        <f aca="false">GuV!C14</f>
        <v>13344</v>
      </c>
      <c r="D12" s="34" t="n">
        <f aca="false">GuV!D14</f>
        <v>14180</v>
      </c>
      <c r="E12" s="34" t="n">
        <f aca="false">GuV!E14</f>
        <v>14545</v>
      </c>
      <c r="F12" s="34" t="n">
        <f aca="false">GuV!F14</f>
        <v>14570</v>
      </c>
      <c r="G12" s="34" t="n">
        <f aca="false">GuV!G14</f>
        <v>15673</v>
      </c>
    </row>
    <row r="13" customFormat="false" ht="15" hidden="false" customHeight="true" outlineLevel="0" collapsed="false">
      <c r="A13" s="12" t="s">
        <v>122</v>
      </c>
      <c r="C13" s="33" t="n">
        <f aca="false">GuV!C15</f>
        <v>28985</v>
      </c>
      <c r="D13" s="33" t="n">
        <f aca="false">GuV!D15</f>
        <v>35338</v>
      </c>
      <c r="E13" s="33" t="n">
        <f aca="false">GuV!E15</f>
        <v>26581</v>
      </c>
      <c r="F13" s="33" t="n">
        <f aca="false">GuV!F15</f>
        <v>49684</v>
      </c>
      <c r="G13" s="33" t="n">
        <f aca="false">GuV!G15</f>
        <v>36261</v>
      </c>
    </row>
    <row r="14" customFormat="false" ht="15" hidden="false" customHeight="true" outlineLevel="0" collapsed="false">
      <c r="A14" s="9" t="s">
        <v>123</v>
      </c>
      <c r="B14" s="10"/>
      <c r="C14" s="34" t="n">
        <f aca="false">GuV!C16</f>
        <v>22225</v>
      </c>
      <c r="D14" s="34" t="n">
        <f aca="false">GuV!D16</f>
        <v>20378</v>
      </c>
      <c r="E14" s="34" t="n">
        <f aca="false">GuV!E16</f>
        <v>36285</v>
      </c>
      <c r="F14" s="34" t="n">
        <f aca="false">GuV!F16</f>
        <v>42922</v>
      </c>
      <c r="G14" s="34" t="n">
        <f aca="false">GuV!G16</f>
        <v>73264</v>
      </c>
    </row>
    <row r="15" customFormat="false" ht="15" hidden="false" customHeight="true" outlineLevel="0" collapsed="false">
      <c r="A15" s="12" t="s">
        <v>124</v>
      </c>
      <c r="C15" s="33" t="n">
        <f aca="false">GuV!C17</f>
        <v>27606</v>
      </c>
      <c r="D15" s="33" t="n">
        <f aca="false">GuV!D17</f>
        <v>24466</v>
      </c>
      <c r="E15" s="33" t="n">
        <f aca="false">GuV!E17</f>
        <v>17558</v>
      </c>
      <c r="F15" s="33" t="n">
        <f aca="false">GuV!F17</f>
        <v>30534</v>
      </c>
      <c r="G15" s="33" t="n">
        <f aca="false">GuV!G17</f>
        <v>17765</v>
      </c>
    </row>
    <row r="16" customFormat="false" ht="15" hidden="false" customHeight="true" outlineLevel="0" collapsed="false">
      <c r="A16" s="9" t="s">
        <v>125</v>
      </c>
      <c r="B16" s="10"/>
      <c r="C16" s="34" t="n">
        <f aca="false">GuV!C19</f>
        <v>-2064</v>
      </c>
      <c r="D16" s="34" t="n">
        <f aca="false">GuV!D19</f>
        <v>-767</v>
      </c>
      <c r="E16" s="34" t="n">
        <f aca="false">GuV!E19</f>
        <v>-49</v>
      </c>
      <c r="F16" s="34" t="n">
        <f aca="false">GuV!F19</f>
        <v>1281</v>
      </c>
      <c r="G16" s="34" t="n">
        <f aca="false">GuV!G19</f>
        <v>2218</v>
      </c>
    </row>
    <row r="17" customFormat="false" ht="15" hidden="false" customHeight="true" outlineLevel="0" collapsed="false">
      <c r="A17" s="12" t="s">
        <v>126</v>
      </c>
      <c r="C17" s="33" t="n">
        <f aca="false">GuV!C20</f>
        <v>47767</v>
      </c>
      <c r="D17" s="33" t="n">
        <f aca="false">GuV!D20</f>
        <v>44077</v>
      </c>
      <c r="E17" s="33" t="n">
        <f aca="false">GuV!E20</f>
        <v>51757</v>
      </c>
      <c r="F17" s="33" t="n">
        <f aca="false">GuV!F20</f>
        <v>74737</v>
      </c>
      <c r="G17" s="33" t="n">
        <f aca="false">GuV!G20</f>
        <v>84282</v>
      </c>
    </row>
    <row r="18" customFormat="false" ht="15" hidden="false" customHeight="true" outlineLevel="0" collapsed="false">
      <c r="A18" s="9" t="s">
        <v>127</v>
      </c>
      <c r="B18" s="10"/>
      <c r="C18" s="34" t="n">
        <f aca="false">GuV!C24</f>
        <v>43777</v>
      </c>
      <c r="D18" s="34" t="n">
        <f aca="false">GuV!D24</f>
        <v>40743</v>
      </c>
      <c r="E18" s="34" t="n">
        <f aca="false">GuV!E24</f>
        <v>48235</v>
      </c>
      <c r="F18" s="34" t="n">
        <f aca="false">GuV!F24</f>
        <v>70561</v>
      </c>
      <c r="G18" s="34" t="n">
        <f aca="false">GuV!G24</f>
        <v>78298</v>
      </c>
    </row>
    <row r="20" customFormat="false" ht="16.5" hidden="false" customHeight="true" outlineLevel="0" collapsed="false">
      <c r="A20" s="7" t="s">
        <v>128</v>
      </c>
    </row>
    <row r="21" customFormat="false" ht="15" hidden="false" customHeight="true" outlineLevel="0" collapsed="false">
      <c r="A21" s="12" t="s">
        <v>17</v>
      </c>
      <c r="C21" s="33" t="n">
        <f aca="false">Bilanz!C13</f>
        <v>294816</v>
      </c>
      <c r="D21" s="33" t="n">
        <f aca="false">Bilanz!D13</f>
        <v>323336</v>
      </c>
      <c r="E21" s="33" t="n">
        <f aca="false">Bilanz!E13</f>
        <v>360117</v>
      </c>
      <c r="F21" s="33" t="n">
        <f aca="false">Bilanz!F13</f>
        <v>370421</v>
      </c>
      <c r="G21" s="33" t="n">
        <f aca="false">Bilanz!G13</f>
        <v>375307</v>
      </c>
    </row>
    <row r="22" customFormat="false" ht="15" hidden="false" customHeight="true" outlineLevel="0" collapsed="false">
      <c r="A22" s="9" t="s">
        <v>24</v>
      </c>
      <c r="B22" s="10"/>
      <c r="C22" s="34" t="n">
        <f aca="false">Bilanz!C19</f>
        <v>39898</v>
      </c>
      <c r="D22" s="34" t="n">
        <f aca="false">Bilanz!D19</f>
        <v>59169</v>
      </c>
      <c r="E22" s="34" t="n">
        <f aca="false">Bilanz!E19</f>
        <v>56622</v>
      </c>
      <c r="F22" s="34" t="n">
        <f aca="false">Bilanz!F19</f>
        <v>107178</v>
      </c>
      <c r="G22" s="34" t="n">
        <f aca="false">Bilanz!G19</f>
        <v>83215</v>
      </c>
    </row>
    <row r="23" customFormat="false" ht="15" hidden="false" customHeight="true" outlineLevel="0" collapsed="false">
      <c r="A23" s="12" t="s">
        <v>129</v>
      </c>
      <c r="C23" s="33" t="n">
        <f aca="false">Bilanz!C18</f>
        <v>2987</v>
      </c>
      <c r="D23" s="33" t="n">
        <f aca="false">Bilanz!D18</f>
        <v>3616</v>
      </c>
      <c r="E23" s="33" t="n">
        <f aca="false">Bilanz!E18</f>
        <v>30611</v>
      </c>
      <c r="F23" s="33" t="n">
        <f aca="false">Bilanz!F18</f>
        <v>44992</v>
      </c>
      <c r="G23" s="33" t="n">
        <f aca="false">Bilanz!G18</f>
        <v>21543</v>
      </c>
    </row>
    <row r="24" customFormat="false" ht="15" hidden="false" customHeight="true" outlineLevel="0" collapsed="false">
      <c r="A24" s="9" t="s">
        <v>130</v>
      </c>
      <c r="B24" s="10"/>
      <c r="C24" s="34" t="n">
        <f aca="false">Bilanz!C21</f>
        <v>2040</v>
      </c>
      <c r="D24" s="34" t="n">
        <f aca="false">Bilanz!D21</f>
        <v>2468</v>
      </c>
      <c r="E24" s="34" t="n">
        <f aca="false">Bilanz!E21</f>
        <v>3089</v>
      </c>
      <c r="F24" s="34" t="n">
        <f aca="false">Bilanz!F21</f>
        <v>3588</v>
      </c>
      <c r="G24" s="34" t="n">
        <f aca="false">Bilanz!G21</f>
        <v>581</v>
      </c>
    </row>
    <row r="25" customFormat="false" ht="15" hidden="false" customHeight="true" outlineLevel="0" collapsed="false">
      <c r="A25" s="12" t="s">
        <v>131</v>
      </c>
      <c r="C25" s="33" t="n">
        <f aca="false">Bilanz!C22</f>
        <v>336754</v>
      </c>
      <c r="D25" s="33" t="n">
        <f aca="false">Bilanz!D22</f>
        <v>384973</v>
      </c>
      <c r="E25" s="33" t="n">
        <f aca="false">Bilanz!E22</f>
        <v>419828</v>
      </c>
      <c r="F25" s="33" t="n">
        <f aca="false">Bilanz!F22</f>
        <v>481187</v>
      </c>
      <c r="G25" s="33" t="n">
        <f aca="false">Bilanz!G22</f>
        <v>459103</v>
      </c>
    </row>
    <row r="26" customFormat="false" ht="15" hidden="false" customHeight="true" outlineLevel="0" collapsed="false">
      <c r="A26" s="9" t="s">
        <v>34</v>
      </c>
      <c r="B26" s="10"/>
      <c r="C26" s="34" t="n">
        <f aca="false">Bilanz!C31</f>
        <v>116570</v>
      </c>
      <c r="D26" s="34" t="n">
        <f aca="false">Bilanz!D31</f>
        <v>116570</v>
      </c>
      <c r="E26" s="34" t="n">
        <f aca="false">Bilanz!E31</f>
        <v>116570</v>
      </c>
      <c r="F26" s="34" t="n">
        <f aca="false">Bilanz!F31</f>
        <v>126570</v>
      </c>
      <c r="G26" s="34" t="n">
        <f aca="false">Bilanz!G31</f>
        <v>126570</v>
      </c>
    </row>
    <row r="27" customFormat="false" ht="15" hidden="false" customHeight="true" outlineLevel="0" collapsed="false">
      <c r="A27" s="12" t="s">
        <v>132</v>
      </c>
      <c r="C27" s="33" t="n">
        <f aca="false">Bilanz!C33</f>
        <v>26940</v>
      </c>
      <c r="D27" s="33" t="n">
        <f aca="false">Bilanz!D33</f>
        <v>28577</v>
      </c>
      <c r="E27" s="33" t="n">
        <f aca="false">Bilanz!E33</f>
        <v>28900</v>
      </c>
      <c r="F27" s="33" t="n">
        <f aca="false">Bilanz!F33</f>
        <v>28009</v>
      </c>
      <c r="G27" s="33" t="n">
        <f aca="false">Bilanz!G33</f>
        <v>27685</v>
      </c>
    </row>
    <row r="28" customFormat="false" ht="15" hidden="false" customHeight="true" outlineLevel="0" collapsed="false">
      <c r="A28" s="9" t="s">
        <v>133</v>
      </c>
      <c r="B28" s="10"/>
      <c r="C28" s="34" t="n">
        <f aca="false">Bilanz!C34</f>
        <v>80885</v>
      </c>
      <c r="D28" s="34" t="n">
        <f aca="false">Bilanz!D34</f>
        <v>95422</v>
      </c>
      <c r="E28" s="34" t="n">
        <f aca="false">Bilanz!E34</f>
        <v>90794</v>
      </c>
      <c r="F28" s="34" t="n">
        <f aca="false">Bilanz!F34</f>
        <v>111630</v>
      </c>
      <c r="G28" s="34" t="n">
        <f aca="false">Bilanz!G34</f>
        <v>91974</v>
      </c>
    </row>
    <row r="29" customFormat="false" ht="15" hidden="false" customHeight="true" outlineLevel="0" collapsed="false">
      <c r="A29" s="12" t="s">
        <v>134</v>
      </c>
      <c r="C29" s="33" t="n">
        <f aca="false">Bilanz!C35</f>
        <v>112359</v>
      </c>
      <c r="D29" s="33" t="n">
        <f aca="false">Bilanz!D35</f>
        <v>144380</v>
      </c>
      <c r="E29" s="33" t="n">
        <f aca="false">Bilanz!E35</f>
        <v>183564</v>
      </c>
      <c r="F29" s="33" t="n">
        <f aca="false">Bilanz!F35</f>
        <v>214912</v>
      </c>
      <c r="G29" s="33" t="n">
        <f aca="false">Bilanz!G35</f>
        <v>212874</v>
      </c>
    </row>
    <row r="31" customFormat="false" ht="16.5" hidden="false" customHeight="true" outlineLevel="0" collapsed="false">
      <c r="A31" s="7" t="s">
        <v>135</v>
      </c>
    </row>
    <row r="32" customFormat="false" ht="15" hidden="false" customHeight="true" outlineLevel="0" collapsed="false">
      <c r="A32" s="9" t="s">
        <v>98</v>
      </c>
      <c r="B32" s="10"/>
      <c r="C32" s="35" t="str">
        <f aca="false">Kapitalflussrechnung!C8</f>
        <v>n. v.</v>
      </c>
      <c r="D32" s="35" t="n">
        <f aca="false">Kapitalflussrechnung!D8</f>
        <v>49</v>
      </c>
      <c r="E32" s="35" t="n">
        <f aca="false">Kapitalflussrechnung!E8</f>
        <v>78</v>
      </c>
      <c r="F32" s="35" t="n">
        <f aca="false">Kapitalflussrechnung!F8</f>
        <v>47.3</v>
      </c>
      <c r="G32" s="35" t="n">
        <f aca="false">Kapitalflussrechnung!G8</f>
        <v>68.2</v>
      </c>
    </row>
    <row r="33" customFormat="false" ht="15" hidden="false" customHeight="true" outlineLevel="0" collapsed="false">
      <c r="A33" s="12" t="s">
        <v>100</v>
      </c>
      <c r="C33" s="36" t="n">
        <f aca="false">Kapitalflussrechnung!C9</f>
        <v>1.7</v>
      </c>
      <c r="D33" s="36" t="n">
        <f aca="false">Kapitalflussrechnung!D9</f>
        <v>-19.5</v>
      </c>
      <c r="E33" s="36" t="n">
        <f aca="false">Kapitalflussrechnung!E9</f>
        <v>-34</v>
      </c>
      <c r="F33" s="36" t="n">
        <f aca="false">Kapitalflussrechnung!F9</f>
        <v>8.9</v>
      </c>
      <c r="G33" s="36" t="n">
        <f aca="false">Kapitalflussrechnung!G9</f>
        <v>-5</v>
      </c>
    </row>
    <row r="34" customFormat="false" ht="15" hidden="false" customHeight="true" outlineLevel="0" collapsed="false">
      <c r="A34" s="9" t="s">
        <v>101</v>
      </c>
      <c r="B34" s="10"/>
      <c r="C34" s="35" t="n">
        <f aca="false">Kapitalflussrechnung!C10</f>
        <v>-46.8</v>
      </c>
      <c r="D34" s="35" t="n">
        <f aca="false">Kapitalflussrechnung!D10</f>
        <v>-28.9</v>
      </c>
      <c r="E34" s="35" t="n">
        <f aca="false">Kapitalflussrechnung!E10</f>
        <v>-17</v>
      </c>
      <c r="F34" s="35" t="n">
        <f aca="false">Kapitalflussrechnung!F10</f>
        <v>-41.8</v>
      </c>
      <c r="G34" s="35" t="n">
        <f aca="false">Kapitalflussrechnung!G10</f>
        <v>-86.7</v>
      </c>
    </row>
    <row r="35" customFormat="false" ht="15" hidden="false" customHeight="true" outlineLevel="0" collapsed="false">
      <c r="A35" s="12" t="s">
        <v>136</v>
      </c>
      <c r="C35" s="36" t="str">
        <f aca="false">Kapitalflussrechnung!C11</f>
        <v>n. v.</v>
      </c>
      <c r="D35" s="36" t="n">
        <f aca="false">Kapitalflussrechnung!D11</f>
        <v>0.600000000000001</v>
      </c>
      <c r="E35" s="36" t="n">
        <f aca="false">Kapitalflussrechnung!E11</f>
        <v>27</v>
      </c>
      <c r="F35" s="36" t="n">
        <f aca="false">Kapitalflussrechnung!F11</f>
        <v>14.4</v>
      </c>
      <c r="G35" s="36" t="n">
        <f aca="false">Kapitalflussrechnung!G11</f>
        <v>-23.5</v>
      </c>
    </row>
    <row r="36" customFormat="false" ht="15" hidden="false" customHeight="true" outlineLevel="0" collapsed="false">
      <c r="A36" s="9" t="s">
        <v>104</v>
      </c>
      <c r="B36" s="10"/>
      <c r="C36" s="35" t="str">
        <f aca="false">Kapitalflussrechnung!C14</f>
        <v>n. v.</v>
      </c>
      <c r="D36" s="35" t="n">
        <f aca="false">Kapitalflussrechnung!D14</f>
        <v>3.6</v>
      </c>
      <c r="E36" s="35" t="n">
        <f aca="false">Kapitalflussrechnung!E14</f>
        <v>30.6</v>
      </c>
      <c r="F36" s="35" t="n">
        <f aca="false">Kapitalflussrechnung!F14</f>
        <v>45</v>
      </c>
      <c r="G36" s="35" t="n">
        <f aca="false">Kapitalflussrechnung!G14</f>
        <v>21.5</v>
      </c>
    </row>
    <row r="38" customFormat="false" ht="16.5" hidden="false" customHeight="true" outlineLevel="0" collapsed="false">
      <c r="A38" s="7" t="s">
        <v>137</v>
      </c>
    </row>
    <row r="39" customFormat="false" ht="15" hidden="false" customHeight="true" outlineLevel="0" collapsed="false">
      <c r="A39" s="12" t="s">
        <v>138</v>
      </c>
      <c r="C39" s="37" t="n">
        <f aca="false">C26/C25</f>
        <v>0.346157729381091</v>
      </c>
      <c r="D39" s="37" t="n">
        <f aca="false">D26/D25</f>
        <v>0.302800456135885</v>
      </c>
      <c r="E39" s="37" t="n">
        <f aca="false">E26/E25</f>
        <v>0.277661327972408</v>
      </c>
      <c r="F39" s="37" t="n">
        <f aca="false">F26/F25</f>
        <v>0.263037031341246</v>
      </c>
      <c r="G39" s="37" t="n">
        <f aca="false">G26/G25</f>
        <v>0.27568976896252</v>
      </c>
    </row>
    <row r="40" customFormat="false" ht="15" hidden="false" customHeight="true" outlineLevel="0" collapsed="false">
      <c r="A40" s="9" t="s">
        <v>139</v>
      </c>
      <c r="B40" s="10"/>
      <c r="C40" s="38" t="n">
        <f aca="false">C21/C25</f>
        <v>0.875463988549505</v>
      </c>
      <c r="D40" s="38" t="n">
        <f aca="false">D21/D25</f>
        <v>0.839892667797482</v>
      </c>
      <c r="E40" s="38" t="n">
        <f aca="false">E21/E25</f>
        <v>0.857772706918071</v>
      </c>
      <c r="F40" s="38" t="n">
        <f aca="false">F21/F25</f>
        <v>0.769806748727626</v>
      </c>
      <c r="G40" s="38" t="n">
        <f aca="false">G21/G25</f>
        <v>0.817478866398172</v>
      </c>
    </row>
    <row r="41" customFormat="false" ht="15" hidden="false" customHeight="true" outlineLevel="0" collapsed="false">
      <c r="A41" s="12" t="s">
        <v>140</v>
      </c>
      <c r="C41" s="37" t="n">
        <f aca="false">C18/C9</f>
        <v>0.112064242964146</v>
      </c>
      <c r="D41" s="37" t="n">
        <f aca="false">D18/D9</f>
        <v>0.0955215552408729</v>
      </c>
      <c r="E41" s="37" t="n">
        <f aca="false">E18/E9</f>
        <v>0.101401563646378</v>
      </c>
      <c r="F41" s="37" t="n">
        <f aca="false">F18/F9</f>
        <v>0.111284070012081</v>
      </c>
      <c r="G41" s="37" t="n">
        <f aca="false">G18/G9</f>
        <v>0.146446386721855</v>
      </c>
    </row>
    <row r="42" customFormat="false" ht="15" hidden="false" customHeight="true" outlineLevel="0" collapsed="false">
      <c r="A42" s="9" t="s">
        <v>141</v>
      </c>
      <c r="B42" s="10"/>
      <c r="C42" s="39" t="n">
        <f aca="false">C14+C12</f>
        <v>35569</v>
      </c>
      <c r="D42" s="39" t="n">
        <f aca="false">D14+D12</f>
        <v>34558</v>
      </c>
      <c r="E42" s="39" t="n">
        <f aca="false">E14+E12</f>
        <v>50830</v>
      </c>
      <c r="F42" s="39" t="n">
        <f aca="false">F14+F12</f>
        <v>57492</v>
      </c>
      <c r="G42" s="39" t="n">
        <f aca="false">G14+G12</f>
        <v>88937</v>
      </c>
    </row>
    <row r="43" customFormat="false" ht="15" hidden="false" customHeight="true" outlineLevel="0" collapsed="false">
      <c r="A43" s="12" t="s">
        <v>142</v>
      </c>
      <c r="C43" s="30" t="s">
        <v>99</v>
      </c>
      <c r="D43" s="30" t="s">
        <v>99</v>
      </c>
      <c r="E43" s="40" t="n">
        <v>0.278</v>
      </c>
      <c r="F43" s="40" t="n">
        <v>0.263</v>
      </c>
      <c r="G43" s="40" t="n">
        <v>0.276</v>
      </c>
    </row>
    <row r="45" customFormat="false" ht="16.5" hidden="false" customHeight="true" outlineLevel="0" collapsed="false">
      <c r="A45" s="7" t="s">
        <v>143</v>
      </c>
    </row>
    <row r="46" customFormat="false" ht="15" hidden="false" customHeight="true" outlineLevel="0" collapsed="false">
      <c r="A46" s="22" t="s">
        <v>144</v>
      </c>
      <c r="B46" s="23"/>
      <c r="C46" s="24" t="n">
        <f aca="false">Bilanz!C22-Bilanz!C37</f>
        <v>0</v>
      </c>
      <c r="D46" s="24" t="n">
        <f aca="false">Bilanz!D22-Bilanz!D37</f>
        <v>0</v>
      </c>
      <c r="E46" s="24" t="n">
        <f aca="false">Bilanz!E22-Bilanz!E37</f>
        <v>0</v>
      </c>
      <c r="F46" s="24" t="n">
        <f aca="false">Bilanz!F22-Bilanz!F37</f>
        <v>0</v>
      </c>
      <c r="G46" s="24" t="n">
        <f aca="false">Bilanz!G22-Bilanz!G37</f>
        <v>0</v>
      </c>
    </row>
    <row r="47" customFormat="false" ht="15" hidden="false" customHeight="true" outlineLevel="0" collapsed="false">
      <c r="A47" s="22" t="s">
        <v>145</v>
      </c>
      <c r="B47" s="23"/>
      <c r="C47" s="24" t="n">
        <f aca="false">GuV!C28</f>
        <v>0</v>
      </c>
      <c r="D47" s="24" t="n">
        <f aca="false">GuV!D28</f>
        <v>0</v>
      </c>
      <c r="E47" s="24" t="n">
        <f aca="false">GuV!E28</f>
        <v>0</v>
      </c>
      <c r="F47" s="24" t="n">
        <f aca="false">GuV!F28</f>
        <v>0</v>
      </c>
      <c r="G47" s="24" t="n">
        <f aca="false">GuV!G28</f>
        <v>0</v>
      </c>
    </row>
    <row r="48" customFormat="false" ht="15" hidden="false" customHeight="true" outlineLevel="0" collapsed="false">
      <c r="A48" s="22" t="s">
        <v>146</v>
      </c>
      <c r="B48" s="23"/>
      <c r="C48" s="32" t="str">
        <f aca="false">IF(ISNUMBER(Kapitalflussrechnung!C14),ROUND(Kapitalflussrechnung!C14-Kapitalflussrechnung!C16,1),"n. v.")</f>
        <v>n. v.</v>
      </c>
      <c r="D48" s="32" t="n">
        <f aca="false">IF(ISNUMBER(Kapitalflussrechnung!D14),ROUND(Kapitalflussrechnung!D14-Kapitalflussrechnung!D16,1),"n. v.")</f>
        <v>0</v>
      </c>
      <c r="E48" s="32" t="n">
        <f aca="false">IF(ISNUMBER(Kapitalflussrechnung!E14),ROUND(Kapitalflussrechnung!E14-Kapitalflussrechnung!E16,1),"n. v.")</f>
        <v>0</v>
      </c>
      <c r="F48" s="32" t="n">
        <f aca="false">IF(ISNUMBER(Kapitalflussrechnung!F14),ROUND(Kapitalflussrechnung!F14-Kapitalflussrechnung!F16,1),"n. v.")</f>
        <v>0</v>
      </c>
      <c r="G48" s="32" t="n">
        <f aca="false">IF(ISNUMBER(Kapitalflussrechnung!G14),ROUND(Kapitalflussrechnung!G14-Kapitalflussrechnung!G16,1),"n. v.")</f>
        <v>0</v>
      </c>
    </row>
    <row r="49" customFormat="false" ht="15" hidden="false" customHeight="true" outlineLevel="0" collapsed="false">
      <c r="A49" s="22" t="s">
        <v>147</v>
      </c>
      <c r="B49" s="23"/>
      <c r="C49" s="41" t="str">
        <f aca="false">IF(ISNUMBER(C43),ROUND(C39,3)-C43,"n. v.")</f>
        <v>n. v.</v>
      </c>
      <c r="D49" s="41" t="str">
        <f aca="false">IF(ISNUMBER(D43),ROUND(D39,3)-D43,"n. v.")</f>
        <v>n. v.</v>
      </c>
      <c r="E49" s="41" t="n">
        <f aca="false">IF(ISNUMBER(E43),ROUND(E39,3)-E43,"n. v.")</f>
        <v>0</v>
      </c>
      <c r="F49" s="41" t="n">
        <f aca="false">IF(ISNUMBER(F43),ROUND(F39,3)-F43,"n. v.")</f>
        <v>0</v>
      </c>
      <c r="G49" s="41" t="n">
        <f aca="false">IF(ISNUMBER(G43),ROUND(G39,3)-G43,"n. v.")</f>
        <v>0</v>
      </c>
    </row>
    <row r="50" customFormat="false" ht="15" hidden="false" customHeight="true" outlineLevel="0" collapsed="false">
      <c r="A50" s="22" t="s">
        <v>148</v>
      </c>
      <c r="B50" s="23"/>
      <c r="C50" s="32" t="str">
        <f aca="false">IF(ISNUMBER(C36),ROUND(C36-C23/1000,1),"n. v.")</f>
        <v>n. v.</v>
      </c>
      <c r="D50" s="32" t="n">
        <f aca="false">IF(ISNUMBER(D36),ROUND(D36-D23/1000,1),"n. v.")</f>
        <v>-0</v>
      </c>
      <c r="E50" s="32" t="n">
        <f aca="false">IF(ISNUMBER(E36),ROUND(E36-E23/1000,1),"n. v.")</f>
        <v>-0</v>
      </c>
      <c r="F50" s="32" t="n">
        <f aca="false">IF(ISNUMBER(F36),ROUND(F36-F23/1000,1),"n. v.")</f>
        <v>0</v>
      </c>
      <c r="G50" s="32" t="n">
        <f aca="false">IF(ISNUMBER(G36),ROUND(G36-G23/1000,1),"n. v.")</f>
        <v>-0</v>
      </c>
    </row>
    <row r="52" customFormat="false" ht="12.75" hidden="false" customHeight="true" outlineLevel="0" collapsed="false">
      <c r="A52" s="25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8"/>
  </cols>
  <sheetData>
    <row r="1" customFormat="false" ht="18.75" hidden="false" customHeight="true" outlineLevel="0" collapsed="false">
      <c r="A1" s="1" t="s">
        <v>150</v>
      </c>
    </row>
    <row r="3" customFormat="false" ht="13.5" hidden="false" customHeight="true" outlineLevel="0" collapsed="false">
      <c r="A3" s="7" t="s">
        <v>151</v>
      </c>
      <c r="B3" s="42" t="s">
        <v>152</v>
      </c>
    </row>
    <row r="4" customFormat="false" ht="13.5" hidden="false" customHeight="true" outlineLevel="0" collapsed="false">
      <c r="A4" s="7" t="s">
        <v>153</v>
      </c>
      <c r="B4" s="42" t="s">
        <v>154</v>
      </c>
    </row>
    <row r="5" customFormat="false" ht="13.5" hidden="false" customHeight="true" outlineLevel="0" collapsed="false">
      <c r="B5" s="42"/>
    </row>
    <row r="6" customFormat="false" ht="13.5" hidden="false" customHeight="true" outlineLevel="0" collapsed="false">
      <c r="A6" s="7" t="s">
        <v>155</v>
      </c>
      <c r="B6" s="42" t="s">
        <v>156</v>
      </c>
    </row>
    <row r="7" customFormat="false" ht="13.5" hidden="false" customHeight="true" outlineLevel="0" collapsed="false">
      <c r="A7" s="7" t="s">
        <v>157</v>
      </c>
      <c r="B7" s="42" t="s">
        <v>158</v>
      </c>
    </row>
    <row r="8" customFormat="false" ht="13.5" hidden="false" customHeight="true" outlineLevel="0" collapsed="false">
      <c r="A8" s="7" t="s">
        <v>159</v>
      </c>
      <c r="B8" s="42" t="s">
        <v>160</v>
      </c>
    </row>
    <row r="9" customFormat="false" ht="13.5" hidden="false" customHeight="true" outlineLevel="0" collapsed="false">
      <c r="A9" s="7" t="s">
        <v>161</v>
      </c>
      <c r="B9" s="42" t="s">
        <v>162</v>
      </c>
    </row>
    <row r="10" customFormat="false" ht="13.5" hidden="false" customHeight="true" outlineLevel="0" collapsed="false">
      <c r="B10" s="42"/>
    </row>
    <row r="11" customFormat="false" ht="13.5" hidden="false" customHeight="true" outlineLevel="0" collapsed="false">
      <c r="A11" s="7" t="s">
        <v>163</v>
      </c>
      <c r="B11" s="42" t="s">
        <v>164</v>
      </c>
    </row>
    <row r="12" customFormat="false" ht="13.5" hidden="false" customHeight="true" outlineLevel="0" collapsed="false">
      <c r="B12" s="42" t="s">
        <v>165</v>
      </c>
    </row>
    <row r="13" customFormat="false" ht="13.5" hidden="false" customHeight="true" outlineLevel="0" collapsed="false">
      <c r="B13" s="42" t="s">
        <v>166</v>
      </c>
    </row>
    <row r="14" customFormat="false" ht="13.5" hidden="false" customHeight="true" outlineLevel="0" collapsed="false">
      <c r="B14" s="42" t="s">
        <v>167</v>
      </c>
    </row>
    <row r="15" customFormat="false" ht="13.5" hidden="false" customHeight="true" outlineLevel="0" collapsed="false">
      <c r="B15" s="42" t="s">
        <v>168</v>
      </c>
    </row>
    <row r="16" customFormat="false" ht="13.5" hidden="false" customHeight="true" outlineLevel="0" collapsed="false">
      <c r="B16" s="42"/>
    </row>
    <row r="17" customFormat="false" ht="13.5" hidden="false" customHeight="true" outlineLevel="0" collapsed="false">
      <c r="A17" s="7" t="s">
        <v>169</v>
      </c>
      <c r="B17" s="42" t="s">
        <v>170</v>
      </c>
    </row>
    <row r="18" customFormat="false" ht="13.5" hidden="false" customHeight="true" outlineLevel="0" collapsed="false">
      <c r="B18" s="42" t="s">
        <v>171</v>
      </c>
    </row>
    <row r="19" customFormat="false" ht="13.5" hidden="false" customHeight="true" outlineLevel="0" collapsed="false">
      <c r="B19" s="42"/>
    </row>
    <row r="20" customFormat="false" ht="13.5" hidden="false" customHeight="true" outlineLevel="0" collapsed="false">
      <c r="A20" s="7" t="s">
        <v>172</v>
      </c>
      <c r="B20" s="42" t="s">
        <v>173</v>
      </c>
    </row>
    <row r="21" customFormat="false" ht="13.5" hidden="false" customHeight="true" outlineLevel="0" collapsed="false">
      <c r="B21" s="42" t="s">
        <v>174</v>
      </c>
    </row>
    <row r="22" customFormat="false" ht="13.5" hidden="false" customHeight="true" outlineLevel="0" collapsed="false">
      <c r="B22" s="42"/>
    </row>
    <row r="23" customFormat="false" ht="13.5" hidden="false" customHeight="true" outlineLevel="0" collapsed="false">
      <c r="A23" s="7" t="s">
        <v>175</v>
      </c>
      <c r="B23" s="42" t="s">
        <v>176</v>
      </c>
    </row>
    <row r="24" customFormat="false" ht="13.5" hidden="false" customHeight="true" outlineLevel="0" collapsed="false">
      <c r="B24" s="42" t="s">
        <v>177</v>
      </c>
    </row>
    <row r="25" customFormat="false" ht="13.5" hidden="false" customHeight="true" outlineLevel="0" collapsed="false">
      <c r="B25" s="42" t="s">
        <v>178</v>
      </c>
    </row>
    <row r="26" customFormat="false" ht="13.5" hidden="false" customHeight="true" outlineLevel="0" collapsed="false">
      <c r="B26" s="42"/>
    </row>
    <row r="27" customFormat="false" ht="13.5" hidden="false" customHeight="true" outlineLevel="0" collapsed="false">
      <c r="A27" s="7" t="s">
        <v>179</v>
      </c>
      <c r="B27" s="42" t="s">
        <v>180</v>
      </c>
    </row>
    <row r="28" customFormat="false" ht="13.5" hidden="false" customHeight="true" outlineLevel="0" collapsed="false">
      <c r="B28" s="42"/>
    </row>
    <row r="29" customFormat="false" ht="13.5" hidden="false" customHeight="true" outlineLevel="0" collapsed="false">
      <c r="A29" s="7" t="s">
        <v>181</v>
      </c>
      <c r="B29" s="42" t="s">
        <v>182</v>
      </c>
    </row>
    <row r="30" customFormat="false" ht="13.5" hidden="false" customHeight="true" outlineLevel="0" collapsed="false">
      <c r="B30" s="42" t="s">
        <v>183</v>
      </c>
    </row>
    <row r="31" customFormat="false" ht="13.5" hidden="false" customHeight="true" outlineLevel="0" collapsed="false">
      <c r="B31" s="42" t="s">
        <v>184</v>
      </c>
    </row>
    <row r="32" customFormat="false" ht="13.5" hidden="false" customHeight="true" outlineLevel="0" collapsed="false">
      <c r="B32" s="42"/>
    </row>
    <row r="33" customFormat="false" ht="13.5" hidden="false" customHeight="true" outlineLevel="0" collapsed="false">
      <c r="A33" s="7" t="s">
        <v>185</v>
      </c>
      <c r="B33" s="42" t="s">
        <v>186</v>
      </c>
    </row>
    <row r="34" customFormat="false" ht="13.5" hidden="false" customHeight="true" outlineLevel="0" collapsed="false">
      <c r="B34" s="42" t="s">
        <v>187</v>
      </c>
    </row>
    <row r="35" customFormat="false" ht="13.5" hidden="false" customHeight="true" outlineLevel="0" collapsed="false">
      <c r="B35" s="42" t="s">
        <v>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2026-08-27T16:06:24Z</dcterms:created>
  <dc:creator>openpyxl</dc:creator>
  <dc:description/>
  <dc:language>en-US</dc:language>
  <cp:lastModifiedBy/>
  <dcterms:modified xsi:type="dcterms:W3CDTF">2026-08-27T16:06:24Z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